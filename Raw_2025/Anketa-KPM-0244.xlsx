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Default Extension="vml" ContentType="application/vnd.openxmlformats-officedocument.vmlDrawing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showSheetTabs="0" xWindow="0" yWindow="0" windowWidth="19416" windowHeight="11016" tabRatio="565"/>
  </bookViews>
  <sheets>
    <sheet name="Форма" sheetId="9" r:id="rId1"/>
    <sheet name="Р1" sheetId="10" r:id="rId2"/>
    <sheet name="Р2" sheetId="22" r:id="rId3"/>
    <sheet name="Р3" sheetId="23" r:id="rId4"/>
    <sheet name="Клинический эффект" sheetId="18" state="hidden" r:id="rId5"/>
    <sheet name="Возможность импортозамещения" sheetId="19" state="hidden" r:id="rId6"/>
    <sheet name="Р1_УГТ_ЛП" sheetId="28" r:id="rId7"/>
    <sheet name="Р2_УГТ_ЛП" sheetId="29" r:id="rId8"/>
    <sheet name="Р3_УГТ_ЛП" sheetId="30" r:id="rId9"/>
    <sheet name="Р1_УГТ_МИ" sheetId="31" r:id="rId10"/>
    <sheet name="Р2_УГТ_МИ" sheetId="32" r:id="rId11"/>
    <sheet name="Р3_УГТ_МИ" sheetId="33" r:id="rId12"/>
    <sheet name="Р1_УГТ_КР" sheetId="34" r:id="rId13"/>
    <sheet name="Р2_УГТ_КР" sheetId="35" r:id="rId14"/>
    <sheet name="Р3_УГТ_КР" sheetId="36" r:id="rId15"/>
    <sheet name="Р1_УГТ_Иное" sheetId="37" r:id="rId16"/>
    <sheet name="Р2_УГТ_Иное" sheetId="38" r:id="rId17"/>
    <sheet name="Р3_УГТ_Иное" sheetId="39" r:id="rId18"/>
    <sheet name="Р1_ДОК_ЛП" sheetId="40" r:id="rId19"/>
    <sheet name="Р2_ДОК_ЛП" sheetId="42" r:id="rId20"/>
    <sheet name="Р3_ДОК_ЛП" sheetId="43" r:id="rId21"/>
    <sheet name="Р1_ДОК_МИ" sheetId="44" r:id="rId22"/>
    <sheet name="Р2_ДОК_МИ" sheetId="45" r:id="rId23"/>
    <sheet name="Р3_ДОК_МИ" sheetId="46" r:id="rId24"/>
    <sheet name="Р1_ДОК_КР" sheetId="47" r:id="rId25"/>
    <sheet name="Р2_ДОК_КР" sheetId="48" r:id="rId26"/>
    <sheet name="Р3_ДОК_КР" sheetId="49" r:id="rId27"/>
    <sheet name="Р1_ДОК_Иное" sheetId="50" r:id="rId28"/>
    <sheet name="Р2_ДОК_Иное" sheetId="51" r:id="rId29"/>
    <sheet name="Р3_ДОК_Иное" sheetId="52" r:id="rId30"/>
    <sheet name="Р1_КТ" sheetId="53" r:id="rId31"/>
    <sheet name="Р2_КТ" sheetId="54" r:id="rId32"/>
    <sheet name="Р3_КТ" sheetId="55" r:id="rId33"/>
    <sheet name="Р1_СТ" sheetId="57" r:id="rId34"/>
    <sheet name="Р2_СТ" sheetId="58" r:id="rId35"/>
    <sheet name="Р3_СТ" sheetId="59" r:id="rId36"/>
    <sheet name="Р1_НИОКТР_1" sheetId="87" r:id="rId37"/>
    <sheet name="Р2_НИОКТР_1" sheetId="86" r:id="rId38"/>
    <sheet name="Р3_НИОКТР_1" sheetId="85" r:id="rId39"/>
    <sheet name="ВР" sheetId="11" state="hidden" r:id="rId40"/>
    <sheet name="Соотв" sheetId="78" state="hidden" r:id="rId41"/>
    <sheet name="Р1_НИОКТР_2" sheetId="88" r:id="rId42"/>
    <sheet name="Р2_НИОКТР_2" sheetId="89" r:id="rId43"/>
    <sheet name="Р3_НИОКТР_2" sheetId="90" r:id="rId44"/>
    <sheet name="НИОКТР_26-30" sheetId="82" state="hidden" r:id="rId45"/>
    <sheet name="Баллы" sheetId="20" state="hidden" r:id="rId46"/>
  </sheets>
  <definedNames>
    <definedName name="_FilterDatabase" localSheetId="1" hidden="1">Р1!$A$5:$D$50</definedName>
    <definedName name="_FilterDatabase" localSheetId="0" hidden="1">Форма!$A$1:$L$12</definedName>
    <definedName name="отбор" localSheetId="27">OFFSET(#REF!,0,0,MAX(#REF!),1)</definedName>
    <definedName name="отбор" localSheetId="24">OFFSET(#REF!,0,0,MAX(#REF!),1)</definedName>
    <definedName name="отбор" localSheetId="18">OFFSET(#REF!,0,0,MAX(#REF!),1)</definedName>
    <definedName name="отбор" localSheetId="21">OFFSET(#REF!,0,0,MAX(#REF!),1)</definedName>
    <definedName name="отбор" localSheetId="30">OFFSET(#REF!,0,0,MAX(#REF!),1)</definedName>
    <definedName name="отбор" localSheetId="36">OFFSET(#REF!,0,0,MAX(#REF!),1)</definedName>
    <definedName name="отбор" localSheetId="41">OFFSET(#REF!,0,0,MAX(#REF!),1)</definedName>
    <definedName name="отбор" localSheetId="33">OFFSET(#REF!,0,0,MAX(#REF!),1)</definedName>
    <definedName name="отбор" localSheetId="15">OFFSET(#REF!,0,0,MAX(#REF!),1)</definedName>
    <definedName name="отбор" localSheetId="12">OFFSET(#REF!,0,0,MAX(#REF!),1)</definedName>
    <definedName name="отбор" localSheetId="9">OFFSET(#REF!,0,0,MAX(#REF!),1)</definedName>
    <definedName name="отбор" localSheetId="28">OFFSET(#REF!,0,0,MAX(#REF!),1)</definedName>
    <definedName name="отбор" localSheetId="25">OFFSET(#REF!,0,0,MAX(#REF!),1)</definedName>
    <definedName name="отбор" localSheetId="19">OFFSET(#REF!,0,0,MAX(#REF!),1)</definedName>
    <definedName name="отбор" localSheetId="22">OFFSET(#REF!,0,0,MAX(#REF!),1)</definedName>
    <definedName name="отбор" localSheetId="31">OFFSET(#REF!,0,0,MAX(#REF!),1)</definedName>
    <definedName name="отбор" localSheetId="37">OFFSET(#REF!,0,0,MAX(#REF!),1)</definedName>
    <definedName name="отбор" localSheetId="42">OFFSET(#REF!,0,0,MAX(#REF!),1)</definedName>
    <definedName name="отбор" localSheetId="34">OFFSET(#REF!,0,0,MAX(#REF!),1)</definedName>
    <definedName name="отбор" localSheetId="16">OFFSET(#REF!,0,0,MAX(#REF!),1)</definedName>
    <definedName name="отбор" localSheetId="13">OFFSET(#REF!,0,0,MAX(#REF!),1)</definedName>
    <definedName name="отбор" localSheetId="7">OFFSET(#REF!,0,0,MAX(#REF!),1)</definedName>
    <definedName name="отбор" localSheetId="10">OFFSET(#REF!,0,0,MAX(#REF!),1)</definedName>
    <definedName name="отбор" localSheetId="29">OFFSET(#REF!,0,0,MAX(#REF!),1)</definedName>
    <definedName name="отбор" localSheetId="26">OFFSET(#REF!,0,0,MAX(#REF!),1)</definedName>
    <definedName name="отбор" localSheetId="20">OFFSET(#REF!,0,0,MAX(#REF!),1)</definedName>
    <definedName name="отбор" localSheetId="23">OFFSET(#REF!,0,0,MAX(#REF!),1)</definedName>
    <definedName name="отбор" localSheetId="32">OFFSET(#REF!,0,0,MAX(#REF!),1)</definedName>
    <definedName name="отбор" localSheetId="38">OFFSET(#REF!,0,0,MAX(#REF!),1)</definedName>
    <definedName name="отбор" localSheetId="43">OFFSET(#REF!,0,0,MAX(#REF!),1)</definedName>
    <definedName name="отбор" localSheetId="35">OFFSET(#REF!,0,0,MAX(#REF!),1)</definedName>
    <definedName name="отбор" localSheetId="17">OFFSET(#REF!,0,0,MAX(#REF!),1)</definedName>
    <definedName name="отбор" localSheetId="14">OFFSET(#REF!,0,0,MAX(#REF!),1)</definedName>
    <definedName name="отбор" localSheetId="8">OFFSET(#REF!,0,0,MAX(#REF!),1)</definedName>
    <definedName name="отбор" localSheetId="11">OFFSET(#REF!,0,0,MAX(#REF!),1)</definedName>
    <definedName name="отбор">OFFSET(#REF!,0,0,MAX(#REF!),1)</definedName>
    <definedName name="Приоритеты" localSheetId="27">OFFSET(#REF!,0,0,MAX(#REF!),1)</definedName>
    <definedName name="Приоритеты" localSheetId="24">OFFSET(#REF!,0,0,MAX(#REF!),1)</definedName>
    <definedName name="Приоритеты" localSheetId="18">OFFSET(#REF!,0,0,MAX(#REF!),1)</definedName>
    <definedName name="Приоритеты" localSheetId="21">OFFSET(#REF!,0,0,MAX(#REF!),1)</definedName>
    <definedName name="Приоритеты" localSheetId="30">OFFSET(#REF!,0,0,MAX(#REF!),1)</definedName>
    <definedName name="Приоритеты" localSheetId="36">OFFSET(#REF!,0,0,MAX(#REF!),1)</definedName>
    <definedName name="Приоритеты" localSheetId="41">OFFSET(#REF!,0,0,MAX(#REF!),1)</definedName>
    <definedName name="Приоритеты" localSheetId="33">OFFSET(#REF!,0,0,MAX(#REF!),1)</definedName>
    <definedName name="Приоритеты" localSheetId="15">OFFSET(#REF!,0,0,MAX(#REF!),1)</definedName>
    <definedName name="Приоритеты" localSheetId="12">OFFSET(#REF!,0,0,MAX(#REF!),1)</definedName>
    <definedName name="Приоритеты" localSheetId="9">OFFSET(#REF!,0,0,MAX(#REF!),1)</definedName>
    <definedName name="Приоритеты" localSheetId="28">OFFSET(#REF!,0,0,MAX(#REF!),1)</definedName>
    <definedName name="Приоритеты" localSheetId="25">OFFSET(#REF!,0,0,MAX(#REF!),1)</definedName>
    <definedName name="Приоритеты" localSheetId="19">OFFSET(#REF!,0,0,MAX(#REF!),1)</definedName>
    <definedName name="Приоритеты" localSheetId="22">OFFSET(#REF!,0,0,MAX(#REF!),1)</definedName>
    <definedName name="Приоритеты" localSheetId="31">OFFSET(#REF!,0,0,MAX(#REF!),1)</definedName>
    <definedName name="Приоритеты" localSheetId="37">OFFSET(#REF!,0,0,MAX(#REF!),1)</definedName>
    <definedName name="Приоритеты" localSheetId="42">OFFSET(#REF!,0,0,MAX(#REF!),1)</definedName>
    <definedName name="Приоритеты" localSheetId="34">OFFSET(#REF!,0,0,MAX(#REF!),1)</definedName>
    <definedName name="Приоритеты" localSheetId="16">OFFSET(#REF!,0,0,MAX(#REF!),1)</definedName>
    <definedName name="Приоритеты" localSheetId="13">OFFSET(#REF!,0,0,MAX(#REF!),1)</definedName>
    <definedName name="Приоритеты" localSheetId="7">OFFSET(#REF!,0,0,MAX(#REF!),1)</definedName>
    <definedName name="Приоритеты" localSheetId="10">OFFSET(#REF!,0,0,MAX(#REF!),1)</definedName>
    <definedName name="Приоритеты" localSheetId="29">OFFSET(#REF!,0,0,MAX(#REF!),1)</definedName>
    <definedName name="Приоритеты" localSheetId="26">OFFSET(#REF!,0,0,MAX(#REF!),1)</definedName>
    <definedName name="Приоритеты" localSheetId="20">OFFSET(#REF!,0,0,MAX(#REF!),1)</definedName>
    <definedName name="Приоритеты" localSheetId="23">OFFSET(#REF!,0,0,MAX(#REF!),1)</definedName>
    <definedName name="Приоритеты" localSheetId="32">OFFSET(#REF!,0,0,MAX(#REF!),1)</definedName>
    <definedName name="Приоритеты" localSheetId="38">OFFSET(#REF!,0,0,MAX(#REF!),1)</definedName>
    <definedName name="Приоритеты" localSheetId="43">OFFSET(#REF!,0,0,MAX(#REF!),1)</definedName>
    <definedName name="Приоритеты" localSheetId="35">OFFSET(#REF!,0,0,MAX(#REF!),1)</definedName>
    <definedName name="Приоритеты" localSheetId="17">OFFSET(#REF!,0,0,MAX(#REF!),1)</definedName>
    <definedName name="Приоритеты" localSheetId="14">OFFSET(#REF!,0,0,MAX(#REF!),1)</definedName>
    <definedName name="Приоритеты" localSheetId="8">OFFSET(#REF!,0,0,MAX(#REF!),1)</definedName>
    <definedName name="Приоритеты" localSheetId="11">OFFSET(#REF!,0,0,MAX(#REF!),1)</definedName>
    <definedName name="Приоритеты">OFFSET(#REF!,0,0,MAX(#REF!),1)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90"/>
  <c r="C3"/>
  <c r="C4" i="89"/>
  <c r="C3"/>
  <c r="E13" i="90"/>
  <c r="E12"/>
  <c r="E11"/>
  <c r="E10"/>
  <c r="E9"/>
  <c r="E8"/>
  <c r="E7"/>
  <c r="E13" i="89"/>
  <c r="E12"/>
  <c r="E11"/>
  <c r="E10"/>
  <c r="E9"/>
  <c r="E8"/>
  <c r="E7"/>
  <c r="E11" i="88"/>
  <c r="E12"/>
  <c r="E13"/>
  <c r="E10"/>
  <c r="E9"/>
  <c r="E8"/>
  <c r="E7"/>
  <c r="C4"/>
  <c r="C3"/>
  <c r="E14" i="89" l="1"/>
  <c r="E14" i="90"/>
  <c r="E14" i="88"/>
  <c r="E7" i="85"/>
  <c r="J12" i="9" s="1"/>
  <c r="E7" i="86"/>
  <c r="J11" i="9" s="1"/>
  <c r="E7" i="87"/>
  <c r="J10" i="9" s="1"/>
  <c r="C4" i="85"/>
  <c r="C3"/>
  <c r="C4" i="86"/>
  <c r="C3"/>
  <c r="I12" i="9"/>
  <c r="I11"/>
  <c r="I10"/>
  <c r="H10"/>
  <c r="C4" i="87" l="1"/>
  <c r="C3"/>
  <c r="G12" i="9" l="1"/>
  <c r="G11"/>
  <c r="H12"/>
  <c r="H11"/>
  <c r="G10"/>
  <c r="F12"/>
  <c r="F11"/>
  <c r="E12"/>
  <c r="D12"/>
  <c r="D11"/>
  <c r="E11"/>
  <c r="F10"/>
  <c r="E10"/>
  <c r="D10"/>
  <c r="E8" i="59"/>
  <c r="E9"/>
  <c r="E10"/>
  <c r="E7"/>
  <c r="E8" i="58"/>
  <c r="E9"/>
  <c r="E10"/>
  <c r="E7"/>
  <c r="E8" i="57"/>
  <c r="E9"/>
  <c r="E10"/>
  <c r="E7"/>
  <c r="E8" i="55"/>
  <c r="E9"/>
  <c r="E10"/>
  <c r="E7"/>
  <c r="E8" i="54"/>
  <c r="E9"/>
  <c r="E10"/>
  <c r="E7"/>
  <c r="E8" i="53"/>
  <c r="E9"/>
  <c r="E10"/>
  <c r="E7"/>
  <c r="E8" i="52"/>
  <c r="E9"/>
  <c r="E10"/>
  <c r="E11"/>
  <c r="E12"/>
  <c r="E13"/>
  <c r="E14"/>
  <c r="E7"/>
  <c r="E8" i="51"/>
  <c r="E9"/>
  <c r="E10"/>
  <c r="E11"/>
  <c r="E12"/>
  <c r="E13"/>
  <c r="E14"/>
  <c r="E7"/>
  <c r="E15" s="1"/>
  <c r="E8" i="50"/>
  <c r="E9"/>
  <c r="E10"/>
  <c r="E11"/>
  <c r="E12"/>
  <c r="E13"/>
  <c r="E14"/>
  <c r="E7"/>
  <c r="E8" i="49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7"/>
  <c r="E8" i="4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7"/>
  <c r="E8" i="47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7"/>
  <c r="E8" i="46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7"/>
  <c r="E8" i="45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7"/>
  <c r="E8" i="44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 s="1"/>
  <c r="E7"/>
  <c r="E8" i="43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7"/>
  <c r="E59" s="1"/>
  <c r="E8" i="42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7"/>
  <c r="E8" i="40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7"/>
  <c r="E8" i="39"/>
  <c r="E9"/>
  <c r="E10"/>
  <c r="E11"/>
  <c r="E12"/>
  <c r="E13"/>
  <c r="E14"/>
  <c r="E7"/>
  <c r="E8" i="38"/>
  <c r="E9"/>
  <c r="E10"/>
  <c r="E11"/>
  <c r="E12"/>
  <c r="E13"/>
  <c r="E15" s="1"/>
  <c r="E14"/>
  <c r="E7"/>
  <c r="E8" i="37"/>
  <c r="E9"/>
  <c r="E10"/>
  <c r="E11"/>
  <c r="E12"/>
  <c r="E13"/>
  <c r="E14"/>
  <c r="E7"/>
  <c r="E8" i="36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7"/>
  <c r="E40" s="1"/>
  <c r="E8" i="35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7"/>
  <c r="E8" i="34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7"/>
  <c r="E8" i="33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7"/>
  <c r="E8" i="32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7"/>
  <c r="E8" i="31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7"/>
  <c r="E8" i="30"/>
  <c r="E9"/>
  <c r="E62" s="1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7"/>
  <c r="E8" i="29"/>
  <c r="E9"/>
  <c r="E62" s="1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7"/>
  <c r="D50" i="23"/>
  <c r="C50"/>
  <c r="D50" i="22"/>
  <c r="C50"/>
  <c r="E8" i="2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7"/>
  <c r="D50" i="10"/>
  <c r="C50"/>
  <c r="E11" i="58" l="1"/>
  <c r="E40" i="35"/>
  <c r="E33" i="47"/>
  <c r="E15" i="39"/>
  <c r="E40" i="34"/>
  <c r="E59" i="42"/>
  <c r="E33" i="48"/>
  <c r="E15" i="52"/>
  <c r="E11" i="55"/>
  <c r="X7" i="22"/>
  <c r="E44" i="45"/>
  <c r="E33" i="49"/>
  <c r="E15" i="50"/>
  <c r="X7" i="23"/>
  <c r="E11" i="57"/>
  <c r="E11" i="59"/>
  <c r="E11" i="54"/>
  <c r="E11" i="53"/>
  <c r="E61" i="33"/>
  <c r="E61" i="32"/>
  <c r="E59" i="40"/>
  <c r="E15" i="37"/>
  <c r="E61" i="31"/>
  <c r="E62" i="28"/>
  <c r="E44" i="46"/>
  <c r="X7" i="10"/>
  <c r="C4" i="58"/>
  <c r="C3"/>
  <c r="C4" i="57"/>
  <c r="C3"/>
  <c r="C4" i="59"/>
  <c r="C3"/>
  <c r="C3" i="55"/>
  <c r="C4" i="54"/>
  <c r="C3"/>
  <c r="C4" i="53"/>
  <c r="C3"/>
  <c r="C4" i="55"/>
  <c r="C4" i="51"/>
  <c r="C3"/>
  <c r="C4" i="50"/>
  <c r="C3"/>
  <c r="C4" i="52"/>
  <c r="C3"/>
  <c r="C4" i="48"/>
  <c r="C3"/>
  <c r="C4" i="47"/>
  <c r="C3"/>
  <c r="C4" i="49"/>
  <c r="C3"/>
  <c r="C4" i="45"/>
  <c r="C3"/>
  <c r="C4" i="44"/>
  <c r="C3"/>
  <c r="C4" i="46"/>
  <c r="C3"/>
  <c r="C4" i="43"/>
  <c r="C3"/>
  <c r="C4" i="42"/>
  <c r="C3"/>
  <c r="C3" i="40"/>
  <c r="C4"/>
  <c r="C4" i="38"/>
  <c r="C3"/>
  <c r="C4" i="37"/>
  <c r="C3"/>
  <c r="C4" i="39"/>
  <c r="C3"/>
  <c r="C4" i="35"/>
  <c r="C3"/>
  <c r="C4" i="34"/>
  <c r="C3"/>
  <c r="C4" i="36"/>
  <c r="C3"/>
  <c r="C4" i="33"/>
  <c r="C3"/>
  <c r="C4" i="32"/>
  <c r="C3"/>
  <c r="C3" i="31"/>
  <c r="C4" i="30"/>
  <c r="C3"/>
  <c r="C4" i="29"/>
  <c r="C3"/>
  <c r="C4" i="31"/>
  <c r="C4" i="28"/>
  <c r="C4" i="23"/>
  <c r="C4" i="22"/>
  <c r="C4" i="10"/>
  <c r="AA7" i="23"/>
  <c r="Z7"/>
  <c r="AA7" i="22"/>
  <c r="Z7"/>
  <c r="AA7" i="10"/>
  <c r="Z7"/>
  <c r="C3" i="28"/>
  <c r="C3" i="10" l="1"/>
  <c r="C3" i="23" l="1"/>
  <c r="C3" i="22"/>
</calcChain>
</file>

<file path=xl/sharedStrings.xml><?xml version="1.0" encoding="utf-8"?>
<sst xmlns="http://schemas.openxmlformats.org/spreadsheetml/2006/main" count="1380" uniqueCount="435">
  <si>
    <t>№</t>
  </si>
  <si>
    <t>Наименование учреждения</t>
  </si>
  <si>
    <t>Перечень типов результатов тематик научных исследований в интересах медицины и здравоохранения</t>
  </si>
  <si>
    <t>Тип результата</t>
  </si>
  <si>
    <t>Р10</t>
  </si>
  <si>
    <t>Р11</t>
  </si>
  <si>
    <t>Р12</t>
  </si>
  <si>
    <t>Код-шифр тематики</t>
  </si>
  <si>
    <t>Клинический эффект</t>
  </si>
  <si>
    <t>Возможность импортозамещения</t>
  </si>
  <si>
    <t>Снижение смертности</t>
  </si>
  <si>
    <t>Имеется возможность серийного производства в России</t>
  </si>
  <si>
    <t>Снижение инвалидизации в несовершеннолетнем возрасте (предотвращение инвалидности, достижение отсрочки в наступлении инвалидности, снятие инвалидности)</t>
  </si>
  <si>
    <t>Снижение инвалидизации в совершеннолетнем возрасте (предотвращение инвалидности, достижение отсрочки в наступлении инвалидности, переход в менее тяжелую группу инвалидности, снятие инвалидности)</t>
  </si>
  <si>
    <t>Снижение временной утраты трудоспособности (более 14 дней)</t>
  </si>
  <si>
    <t>Снижение временной утраты трудоспособности (до 14 дней)</t>
  </si>
  <si>
    <t>Повышение качества жизни, связанного с состоянием здоровья</t>
  </si>
  <si>
    <t>Оцените вклад результата НИР в ее решение в виде единственного выбора из числа приведенных вариантов.</t>
  </si>
  <si>
    <t>Отсутствует возможность серийного производства в России</t>
  </si>
  <si>
    <t xml:space="preserve">Укажите приоритетную проблему медицины и здравоохранения, на решение которой направлен результат НИР </t>
  </si>
  <si>
    <t>Баллы</t>
  </si>
  <si>
    <t>Наименование тематики</t>
  </si>
  <si>
    <t>лекарственный препарат (средство)</t>
  </si>
  <si>
    <t>мишень для терапии</t>
  </si>
  <si>
    <t>модель заболевания</t>
  </si>
  <si>
    <t>медицинское изделие</t>
  </si>
  <si>
    <t>новый материал</t>
  </si>
  <si>
    <t>тест-система</t>
  </si>
  <si>
    <t>метод диагностики</t>
  </si>
  <si>
    <t>метод лечения</t>
  </si>
  <si>
    <t>метод профилактики</t>
  </si>
  <si>
    <t>метод реабилитации</t>
  </si>
  <si>
    <t>метод прогнозирования</t>
  </si>
  <si>
    <t>новые знания о предмете исследования (орган, клетка, молекула, геном)</t>
  </si>
  <si>
    <t>выводы (рекомендации) для принятия управленческих решений на основании популяционных данных, эпидемиологических данных</t>
  </si>
  <si>
    <t>иное (указать)</t>
  </si>
  <si>
    <t>Код результата</t>
  </si>
  <si>
    <t>Р1</t>
  </si>
  <si>
    <t>Р2</t>
  </si>
  <si>
    <t>Р3</t>
  </si>
  <si>
    <t>Р4</t>
  </si>
  <si>
    <t>Р5</t>
  </si>
  <si>
    <t>Р6</t>
  </si>
  <si>
    <t>Р7</t>
  </si>
  <si>
    <t>Р8</t>
  </si>
  <si>
    <t>Р9</t>
  </si>
  <si>
    <t>Р13</t>
  </si>
  <si>
    <t>Р14</t>
  </si>
  <si>
    <t>Тип результата:</t>
  </si>
  <si>
    <t>Оценка вкалада результата НИР в решение приоритетных проблем медицины и здравоохранения</t>
  </si>
  <si>
    <t>Клинический эффект для оценки вкалада результата НИР в решение приоритетных проблем медицины и здравоохранения</t>
  </si>
  <si>
    <t>Наименование</t>
  </si>
  <si>
    <t>Возможность</t>
  </si>
  <si>
    <t>Номер проекта из "Системы Экспертиз"</t>
  </si>
  <si>
    <t>Вернуться на главную страницу</t>
  </si>
  <si>
    <t>Лекарственный препарат</t>
  </si>
  <si>
    <t>Медицинское изделие</t>
  </si>
  <si>
    <t>Клинические рекомендации</t>
  </si>
  <si>
    <t>Иное</t>
  </si>
  <si>
    <t>Лекарственный препарат (средство)</t>
  </si>
  <si>
    <t>Мишень для терапии</t>
  </si>
  <si>
    <t>Модель заболевания</t>
  </si>
  <si>
    <t>Новый материал</t>
  </si>
  <si>
    <t>Тест-система</t>
  </si>
  <si>
    <t>Набор реагентов</t>
  </si>
  <si>
    <t>Метод диагностики</t>
  </si>
  <si>
    <t>Метод лечения</t>
  </si>
  <si>
    <t>Метод профилактики</t>
  </si>
  <si>
    <t>Метод реабилитации</t>
  </si>
  <si>
    <t>Метод прогнозирования</t>
  </si>
  <si>
    <t>Новые знания о предмете исследования (орган, клетка, молекула, геном)</t>
  </si>
  <si>
    <t>Выводы (рекомендации) для принятия управленческих решений на основании популяционных данных, эпидемиологических данных</t>
  </si>
  <si>
    <t>Прочее</t>
  </si>
  <si>
    <t>Проведен аналитический обзор научной, медицинской, технической литературы по теме</t>
  </si>
  <si>
    <t>Выявлены механизмы возникновения заболевания, определены молекулярные мишени</t>
  </si>
  <si>
    <t>Проведено изучение библиотек данных с целью выбора потенциального кандидата прототипа молекулы</t>
  </si>
  <si>
    <t>Разработан дизайн исследования</t>
  </si>
  <si>
    <t>Подтверждены научные принципы нового ЛС</t>
  </si>
  <si>
    <t>Докинг/скрининг/программное прогнозирование с целью выбора кандидата</t>
  </si>
  <si>
    <t>Предварительно определены целевые показатели качества</t>
  </si>
  <si>
    <t xml:space="preserve">Определено целевое назначение нового ЛС </t>
  </si>
  <si>
    <t>Подтверждена востребованность нового ЛС</t>
  </si>
  <si>
    <t>Сформулирована общая концепция нового ЛС</t>
  </si>
  <si>
    <t>Сформулирована ожидаемая выгода для заказчика нового ЛС с учетом существующих на рынке аналогов</t>
  </si>
  <si>
    <t xml:space="preserve">Сформулирована ожидаемая выгода для возможных потребителей нового ЛС с учетом существующих на рынке аналогов </t>
  </si>
  <si>
    <t>Проведены патентные исследования</t>
  </si>
  <si>
    <t>Проведены экспериментальные работы, подтверждающие гипотезу</t>
  </si>
  <si>
    <t>Выполнена проверка концепции экспериментальными методами для доказательства эффективности использования идеи</t>
  </si>
  <si>
    <t>Оценена возможность получения действующего вещества с использованием различных сырьевых источников</t>
  </si>
  <si>
    <t>Начато выявление: критических характеристик исходных материалов, критических параметров процесса, потенциальных характеристик качества готового продукта и выявлены ключевые преимущества технологии</t>
  </si>
  <si>
    <t>Сформулировано предварительное техническое задание на разработку ЛС (активной фармацевтической субстанции (АФС) и готовой лекарственной формы (ГЛФ)</t>
  </si>
  <si>
    <t>Получено и идентифицировано активное соединение/фармацевтическая субстанция</t>
  </si>
  <si>
    <t>Разработан проект спецификации на АФС</t>
  </si>
  <si>
    <t>Имеется акт наработки действующего вещества/ АФС</t>
  </si>
  <si>
    <t>Подготовлена программа (план) исследования биологической активности соединения/фармацевтической субстанции</t>
  </si>
  <si>
    <t>Разработан план доклинических исследований</t>
  </si>
  <si>
    <t>Определены физико-химические свойства (характеристики) действующего вещества /АФС</t>
  </si>
  <si>
    <t>Определены биофармацевтические, микробиологические, технологические характеристики действующего вещества/АФС</t>
  </si>
  <si>
    <t>Оценена биологическая активность соединения в системах in vitro и/или in vivo</t>
  </si>
  <si>
    <t>Определена цитотоксичность и острая токсичность действующего вещества /АФС</t>
  </si>
  <si>
    <t>Представитель заказчика принял результаты тестирования как достоверные и подтвердил заинтересованность в продукте</t>
  </si>
  <si>
    <t>Проведены дополнительные патентные исследования</t>
  </si>
  <si>
    <t>Разработана спецификация на АФС</t>
  </si>
  <si>
    <t>Разработана лекарственная форма (ГЛФ)</t>
  </si>
  <si>
    <t>Разработан состав и технология получения лекарственного препарата (ЛП)</t>
  </si>
  <si>
    <t>Разработан лабораторный регламент на ЛП</t>
  </si>
  <si>
    <t>Разработан проект опытно-промышленного регламента (ОПР) на ЛП</t>
  </si>
  <si>
    <t>Наработаны опытные серии образцов ЛП для изучения стабильности в процессе хранения и проведения доклинических исследований</t>
  </si>
  <si>
    <t>Имеется акт наработки ЛП</t>
  </si>
  <si>
    <t>Проведены доклинические исследования специфической активности, хронической токсичности, специфической токсичности, фармакокинетики, фармакодинамики</t>
  </si>
  <si>
    <t>Разработан ОПР на ЛП</t>
  </si>
  <si>
    <t>Подобрана система упаковки и укупорки</t>
  </si>
  <si>
    <t>Разработаны и валидированы методы анализа ЛП</t>
  </si>
  <si>
    <t>Разработан проект нормативной документации (НД) по качеству на ЛП</t>
  </si>
  <si>
    <t>Проведено масштабирование технологии с целью переноса на производственную площадку</t>
  </si>
  <si>
    <t>Разработан дизайн клинических исследования (КИ)</t>
  </si>
  <si>
    <t>Разработан комплект документов для подачи заявления на РКИ: 1) брошюра исследователя; 2) протокол КИ I фазы; 3) информационный листок пациента</t>
  </si>
  <si>
    <t>Подготовлен проект инструкции по медицинскому применению</t>
  </si>
  <si>
    <t>Определена производственная площадка в условиях GMP</t>
  </si>
  <si>
    <t>Выполнен трансфер методик и технологий</t>
  </si>
  <si>
    <t>Подано заявление о выдаче разрешения на проведение КИ ЛП</t>
  </si>
  <si>
    <t>Наработаны серии ЛП для КИ I и II фазы</t>
  </si>
  <si>
    <t>Получено разрешение на проведение клинических исследований лекарственного препарата I фазы</t>
  </si>
  <si>
    <t>Получено разрешение на проведение клинических исследований лекарственного препарата II фазы</t>
  </si>
  <si>
    <t>Проведены КИ I фазы</t>
  </si>
  <si>
    <t>Проведены КИ II фазы</t>
  </si>
  <si>
    <t>Подготовлены отчеты КИ I фазы</t>
  </si>
  <si>
    <t>Подготовлены отчеты КИ II фазы</t>
  </si>
  <si>
    <t>Растущая смертность от болезней системы кровообращения</t>
  </si>
  <si>
    <t>Повышение рисков нарушений ритма сердца: фибрилляция предсердий, желудочковые нарушения ритма сердца, внезапная сердечная смерть (ВСС), брадиаритмии</t>
  </si>
  <si>
    <t>Артериальная гипертензия: разработка и производство отечественных антигипертензивных препаратов, отвечающих стратегии полипилл, для увеличения приверженности пациентов к терапии</t>
  </si>
  <si>
    <t>Инфаркт миокарда: разработка и производство отечественных препаратов для тромболитической терапии</t>
  </si>
  <si>
    <t>Инфаркт миокарда: разработка и производство отечественных медицинских изделий, применяемых для хирургических вмешательств, которые отсутствуют в Российской Федерации либо нуждаются в совершенствовании, импортозамещении</t>
  </si>
  <si>
    <t>Острый перикардит: необходимость проведения клинических исследований для расширения показаний к применению препарата «Колхицин»</t>
  </si>
  <si>
    <t>Острый перикардит: разработка и производство новой активной фармацевтической субстанции для производства отечественного препарата</t>
  </si>
  <si>
    <t>Фибрилляция предсердий: разработка и производство отечественных медицинских изделий, которые отсутствуют в Российской Федерации либо нуждаются в совершенствовании, импортозамещении</t>
  </si>
  <si>
    <t>Высокие риски передачи вируса гепатита С от матери к ребенку</t>
  </si>
  <si>
    <t>Бронхиальная астма: проведение исследований, направленных на изучение роли маркера периостина в диагностике бронхиальной астмы</t>
  </si>
  <si>
    <t>Бронхиальная астма: разработка и производство отечественных медицинских изделий, применяемых для диагностики, мониторинга и выбора тактики лечения при бронхиальной астме, которые отсутствуют в Российской Федерации либо нуждаются в совершенствовании, импортозамещении</t>
  </si>
  <si>
    <t>Бронхиальная астма: разработка новых активных фармацевтических субстанций и производство отечественных лекарственных препаратов на их основе для терапии бронхиальной астмы, рекомендованных к применению в соответствии с клиническими рекомендациями</t>
  </si>
  <si>
    <t>Сложность бесперебойного лекарственного обеспечения и диагностики пациентов с аутоиммунным лимфопролиферативным синдромом (АЛПС)</t>
  </si>
  <si>
    <t>Фтизиатрия: разработка и производство медицинских изделий для диагностики туберкулеза, которые отсутствуют в Российской Федерации либо нуждаются в совершенствовании, импортозамещении</t>
  </si>
  <si>
    <t>Высокая распространенность первичного гиперпаратиреоза (ПГПТ)</t>
  </si>
  <si>
    <t>Сахарный диабет: разработка отечественных методов ранней диагностики до дебюта заболевания</t>
  </si>
  <si>
    <t>Сахарный диабет: разработка и производство отечественных препаратов для терапии заболевания</t>
  </si>
  <si>
    <t>Сахарный диабет: разработка и внедрение отечественных систем неинвазивного мониторинга уровня глюкозы в крови</t>
  </si>
  <si>
    <t>Недостаточно ранее выявление злокачественных новообразований минимально инвазивным способом на амбулаторном этапе</t>
  </si>
  <si>
    <t>Онкология: разработка и производство отечественных иммуноонкологических и таргетных противоопухолевых препаратов</t>
  </si>
  <si>
    <t>Онкология: разработка и производство отечественных медицинских изделий для радиотерапии, которые отсутствуют в Российской Федерации либо нуждаются в совершенствовании, импортозамещении</t>
  </si>
  <si>
    <t>Увеличение количества ожидающих пациентов, нуждающихся в трансплантации органов</t>
  </si>
  <si>
    <t>Ограниченное количество трансплантаций органов в год</t>
  </si>
  <si>
    <t>Низкий уровень качества трансплантологической помощи</t>
  </si>
  <si>
    <t>Нейрохирургия: разработка и производство отечественных медицинских изделий, которые отсутствуют в Российской Федерации либо нуждаются в совершенствовании, импортозамещении</t>
  </si>
  <si>
    <t>Рассеянный склероз: разработка и производство отечественных лекарственных препаратов, изменяющих течение заболевания</t>
  </si>
  <si>
    <t>Нейрохирургия: разработка базы данных исследований в вертебрологии</t>
  </si>
  <si>
    <t>Недостаточные оперативность и качество ранней диагностики, профилактики и лечения дегенеративно-дистрофических заболеваний, в т.ч. с применением сустав-сохраняющих хирургических технологий</t>
  </si>
  <si>
    <t>Травматология и ортопедия: разработка и производство отечественных медицинских изделий для терапии болезней органов опорно-двигательной системы, которые отсутствуют в Российской Федерации либо нуждаются в совершенствовании, импортозамещении</t>
  </si>
  <si>
    <t>Рост распространенности функциональных зрительных расстройств у детей и взрослых</t>
  </si>
  <si>
    <t>Офтальмология: разработка и производство отечественных медицинских изделий, которые отсутствуют в Российской Федерации либо нуждаются в совершенствовании, импортозамещении</t>
  </si>
  <si>
    <t>Ревматические болезни: разработка и производство отечественных лекарственных препаратов, рекомендованных к применению в соответствии с клиническими рекомендациями</t>
  </si>
  <si>
    <t>Подагра: разработка и производство отечественных препаратов, показанных к применению в соответствии с клиническими рекомендациями</t>
  </si>
  <si>
    <t>Дефицит импортных расходных стоматологических материалов для производства современных дентальных имплантатов, остеопластических материалов, биосовместимых материалов для 3D-печати имплантатов</t>
  </si>
  <si>
    <t>Стоматология: разработка и производство отечественных медицинских изделий, которые отсутствуют в Российской Федерации либо нуждаются в совершенствовании, импортозамещении</t>
  </si>
  <si>
    <t>Увеличение количества пациентов с психическими заболеваниями</t>
  </si>
  <si>
    <t>Недостаточное количество и разнообразие в Российской Федерации высокотехнологичных лекарственных препаратов (ВТЛП - ЛП на основе соматических клеток человека) и биомедицинских клеточных продуктов (БМКП)</t>
  </si>
  <si>
    <t>Анестезиология и реаниматология: разработка и производство отечественных медицинских изделий, которые отсутствуют в Российской Федерации либо нуждаются в совершенствовании, импортозамещении</t>
  </si>
  <si>
    <t>Ультразвуковая диагностика: разработка отечественных методов ультразвуковой диагностики, основанных на распространении ультразвуковых лучей в тканях организма с учетом гипоксии и оптических свойств ткани органов</t>
  </si>
  <si>
    <t>Ультразвуковая диагностика: разработка и производство медицинских изделий, которые отсутствуют в Российской Федерации либо нуждаются в совершенствовании, импортозамещении</t>
  </si>
  <si>
    <t>Микробиология: разработка отечественных аналогов медицинских изделий для проведения молекулярно-генетических исследований</t>
  </si>
  <si>
    <t>Микробиология: разработка и производство отечественных аналогов автоматизированных систем учета</t>
  </si>
  <si>
    <t>Младенческие (инфантильные) гемангиомы: разработка и производство отечественных препаратов в виде лекарственной формы «раствор для приема внутрь».</t>
  </si>
  <si>
    <t>Вид результата:</t>
  </si>
  <si>
    <r>
      <t xml:space="preserve">Отметьте приоритетную проблему медицины и здравоохранении </t>
    </r>
    <r>
      <rPr>
        <sz val="11"/>
        <color theme="1"/>
        <rFont val="Times New Roman"/>
        <family val="1"/>
        <charset val="204"/>
      </rPr>
      <t xml:space="preserve"> </t>
    </r>
    <r>
      <rPr>
        <b/>
        <sz val="11"/>
        <color theme="1"/>
        <rFont val="Times New Roman"/>
        <family val="1"/>
        <charset val="204"/>
      </rPr>
      <t>и отметьте вклад результата в ее решение</t>
    </r>
    <r>
      <rPr>
        <sz val="11"/>
        <color theme="1"/>
        <rFont val="Times New Roman"/>
        <family val="1"/>
        <charset val="204"/>
      </rPr>
      <t xml:space="preserve"> </t>
    </r>
    <r>
      <rPr>
        <b/>
        <sz val="11"/>
        <color theme="1"/>
        <rFont val="Times New Roman"/>
        <family val="1"/>
        <charset val="204"/>
      </rPr>
      <t xml:space="preserve">
</t>
    </r>
    <r>
      <rPr>
        <b/>
        <i/>
        <sz val="11"/>
        <color theme="1"/>
        <rFont val="Times New Roman"/>
        <family val="1"/>
        <charset val="204"/>
      </rPr>
      <t>(перейти по ссылке на форму)</t>
    </r>
  </si>
  <si>
    <r>
      <t xml:space="preserve">Отметьте все задачи, полностью решенные к моменту завершения НИР или данного этапа НИР в рамках достижения УГТ оцениваемого научного результата
</t>
    </r>
    <r>
      <rPr>
        <b/>
        <i/>
        <sz val="11"/>
        <color theme="1"/>
        <rFont val="Times New Roman"/>
        <family val="1"/>
        <charset val="204"/>
      </rPr>
      <t>(перейти по ссылке на форму)</t>
    </r>
  </si>
  <si>
    <t xml:space="preserve">Проведен обзор технической литературы по теме </t>
  </si>
  <si>
    <t>Проведен обзор маркетинговой литературы по теме</t>
  </si>
  <si>
    <t>Подтверждены научные принципы нового продукта/технологии</t>
  </si>
  <si>
    <t>Подтверждена востребованность нового продукта/технологии</t>
  </si>
  <si>
    <t>Сформулирована общая концепция нового продукта/технологии</t>
  </si>
  <si>
    <t>Сформулирована ожидаемая выгода для заказчика нового продукта и (или) технологии с учетом существующих на рынке продуктов и (или) технологий</t>
  </si>
  <si>
    <t>Сформулирована ожидаемая выгода для возможных потребителей нового продукта и (или) технологии с учетом существующих на рынке продуктов и (или) технологий</t>
  </si>
  <si>
    <t>Сформулирована технологическая концепция нового продукта и (или) технологии</t>
  </si>
  <si>
    <t>Выбраны и описаны критические элементы технологии, необходимые для конечного применения</t>
  </si>
  <si>
    <t>Сформулировано предварительное техническое задание на макет</t>
  </si>
  <si>
    <t>Сформулировано техническое предложение, предложены варианты предполагаемого практического использования нового продукта и(или) технологии</t>
  </si>
  <si>
    <t>Дана сравнительная характеристика предложенных вариантов предполагаемого практического использования нового продукта и(или) технологии</t>
  </si>
  <si>
    <t>В лабораторных условиях изготовлен макет изделия/ серия макетных образцов</t>
  </si>
  <si>
    <t>Разработана предварительная конструкторская документация с литерой "Т" или "Э" (эскизный проект или технический проект) или иная документация соответствующего уровня</t>
  </si>
  <si>
    <t>Подготовлена программа и методика испытаний: перечень процедур и диапазон базовых измеряемых параметров</t>
  </si>
  <si>
    <t>Индивидуальные компоненты макетного образца были протестированы в лабораторных условиях</t>
  </si>
  <si>
    <t>Функциональность макетного образца продемонстрирована в лабораторных условиях</t>
  </si>
  <si>
    <t>Методики тестирования и результаты тестирования макетного образца одобрены</t>
  </si>
  <si>
    <t>Представитель заказчика принял результаты тестирования макетного образца как достоверные и подтвердил заинтересованность в продукте</t>
  </si>
  <si>
    <t>Изготовлен прототип изделия по эскизной документации</t>
  </si>
  <si>
    <t>Компоненты прототипа изделия интегрированы между собой</t>
  </si>
  <si>
    <t>Функциональность и работоспособность прототипа подтверждена во внешних условиях или с использованием имитаторов внешней среды</t>
  </si>
  <si>
    <t>Результаты тестирования прототипа изделия в расширенном диапазоне параметров соответствуют техническому заданию и одобрены заказчиком</t>
  </si>
  <si>
    <t>Есть акт приемки на соответствие прототипа техническому заданию</t>
  </si>
  <si>
    <t>Определены области ограничений применения технологии, в которых ее использование нецелесообразно или запрещено (законодательные, рыночные, научно-технические, обусловленные использованием интеллектуальной собственности, экологические, иные)</t>
  </si>
  <si>
    <t>Разработана рабочая конструкторская документация без литеры</t>
  </si>
  <si>
    <t>Изготовлен опытный экспериментальный образец в масштабе, близком к реальному, по полупромышленной технологии</t>
  </si>
  <si>
    <t>Основные компоненты опытного экспериментального образца изделия интегрированы между собой</t>
  </si>
  <si>
    <t>Изготовлен испытательный стенд для проведения испытания расширенного набора функций</t>
  </si>
  <si>
    <t>Программа и методика испытаний (далее - ПМИ) расширенного набора функций опытного экспериментального образца в лабораторной среде с моделированием основных внешних условий (интерфейс с внешним окружением) согласованы с заказчиком</t>
  </si>
  <si>
    <t>Проведены испытания опытного экспериментального образца</t>
  </si>
  <si>
    <t>Результаты испытаний опытного экспериментального образца согласуются с требованиями ПМИ</t>
  </si>
  <si>
    <t>Результаты испытаний опытного экспериментального образца одобрены заказчиком</t>
  </si>
  <si>
    <t>Подтверждена выполнимость всех характеристик во внешних условиях, соответствующих финальному применению продукта и(или) технологии</t>
  </si>
  <si>
    <t>Создан полнофункциональный образец изделия в реальном масштабе</t>
  </si>
  <si>
    <t>Основные технологические компоненты полнофункционального образца изделия интегрированы</t>
  </si>
  <si>
    <t>Подготовлена ПМИ полнофункционального образца в условиях моделируемой внешней среды</t>
  </si>
  <si>
    <t>Изготовлен лабораторный испытательный стенд для проведения испытаний полнофункционального образца</t>
  </si>
  <si>
    <t>Испытания проведены в лабораторной среде, получены требуемые по заданию характеристики с высокой точностью и достоверностью, подтверждены рабочие характеристики в условиях, моделирующих реальные условия</t>
  </si>
  <si>
    <t>Результаты испытаний полнофункционального образца согласуются с требованиями методики</t>
  </si>
  <si>
    <t>Результаты испытаний полнофункционального образца одобрены заказчиком</t>
  </si>
  <si>
    <t>Разработана рабочая конструкторская документация с литерой "О"</t>
  </si>
  <si>
    <t>Разработана рабочая конструкторская документация с литерой "О1"</t>
  </si>
  <si>
    <t>Физический опытно-промышленный образец (далее - ОПО) изготовлен по рабочей конструкторской документации (далее - РКД), утвержденной ранее, на прототипе производственной линии на производственных мощностях заказчика и (или) потребителя</t>
  </si>
  <si>
    <t>Существует физический экземпляр испытательного стенда на площадке заказчика и (или) потребителя для проверки функционала продукта и (или) технологии в составе ОПО</t>
  </si>
  <si>
    <t>Подготовлена программа и методика испытаний полнофункционального опытно-промышленный образца (далее - ПФО ОПО), в полной мере учитывающая требования руководящих документов заказчика и национального стандарта</t>
  </si>
  <si>
    <t>Испытания ПФО ОПО на стенде подтверждают достижимость планируемых диапазонов изменения ключевых характеристик</t>
  </si>
  <si>
    <t>Обосновано снятие основных технических рисков</t>
  </si>
  <si>
    <t>Результаты испытаний ПФО ОПО одобрены заказчиком</t>
  </si>
  <si>
    <t>Экспериментально подтверждена достижимость ключевых характеристик продукта и (или) технологии и диапазонов их изменения</t>
  </si>
  <si>
    <t>Техническая спецификация системы готова и достаточна для детального проектирования конечной технологии - для разработки конструкторской документации, с литерой "О2"</t>
  </si>
  <si>
    <t xml:space="preserve">Проведен аналитический обзор научной, медицинской, технической литературы </t>
  </si>
  <si>
    <t>Собрана и описана информация по заболеванию или состоянию (группы заболеваний или состояний): этиология и патогенез, эпидемиология, классификация, клиническая картина</t>
  </si>
  <si>
    <t>Подтверждены научные принципы нового продукта</t>
  </si>
  <si>
    <t>Определено целевое назначение продукта</t>
  </si>
  <si>
    <t>Подтверждена востребованность нового продукта</t>
  </si>
  <si>
    <t>Сформулирована общая концепция нового продукта</t>
  </si>
  <si>
    <t xml:space="preserve">Сформулирована ожидаемая выгода для заказчика </t>
  </si>
  <si>
    <t xml:space="preserve">Сформулирована ожидаемая выгода для потребителей </t>
  </si>
  <si>
    <t>Проведены экспериментальные работы, подтверждающие применимость разрабатываемых методов диагностики/лечения/реабилитации/профилактики для включения в клинические рекомендации</t>
  </si>
  <si>
    <t>Методы диагностики/лечения/реабилитации/профилактики, разрабатываемые для включения в клинические рекомендации, стандартизированы</t>
  </si>
  <si>
    <t>Методы диагностики/лечения/реабилитации/профилактики, разрабатываемые для включения в клинические рекомендации, валидированы</t>
  </si>
  <si>
    <t xml:space="preserve">Методы диагностики/лечения/реабилитации/профилактики, разрабатываемые для включения в клинические рекомендации, верифицированы </t>
  </si>
  <si>
    <t>Имеется акт/протокол верификации метода</t>
  </si>
  <si>
    <t>Имеется акт/протокол валидации метода</t>
  </si>
  <si>
    <t>Подготовлена программа апробации методов диагностики/лечения/реабилитации/профилактики</t>
  </si>
  <si>
    <t>Выполнен анализ существующих клинических рекомендаций и их качества</t>
  </si>
  <si>
    <t>Выполнен анализ научной обоснованности информации, включаемой в клинические рекомендации</t>
  </si>
  <si>
    <t>Выполнен анализ достоверности доказательств для методов диагностики, профилактики, лечения, медицинской реабилитации, в том числе основанных на использовании природных лечебных факторов (диагностических, профилактических, лечебных, реабилитационных вмешательств)</t>
  </si>
  <si>
    <t>Разработан дизайн клинического исследования метода</t>
  </si>
  <si>
    <t>Подготовлен протокол клинического исследования метода</t>
  </si>
  <si>
    <t>Проведено предварительное клиническое исследование метода</t>
  </si>
  <si>
    <t>Сформирован отчет о предварительных результатах исследования метода</t>
  </si>
  <si>
    <t>Проведено клиническое исследование безопасности и эффективности метода</t>
  </si>
  <si>
    <t>Сформирован отчет о результатах клинического исследования безопасности и эффективности метода</t>
  </si>
  <si>
    <t>Метод доработан на основе результатов клинических исследований</t>
  </si>
  <si>
    <t>Разработаны предложения по включению метода в клинические рекомендации</t>
  </si>
  <si>
    <t>Проект клинических рекомендаций размещен в информационно-телекоммуникационной сети "Интернет" и направлен в научные организации, образовательные организации высшего образования, медицинские организации, медицинские профессиональные некоммерческие организации их ассоциаций (союзы)</t>
  </si>
  <si>
    <t>Получены отзывы на проект клинических рекомендаций</t>
  </si>
  <si>
    <t>Проект клинических рекомендаций доработан</t>
  </si>
  <si>
    <t xml:space="preserve">Проведен аналитический обзор технической, научной, медицинской и маркетинговой литературы по теме  </t>
  </si>
  <si>
    <t>Выявлены новые закономерности, принципы, статистические явления в сфере медицины и здравоохранения</t>
  </si>
  <si>
    <t>Определена проблема медицины и здравоохранения, на решение которой направлен результат исследования/разработки</t>
  </si>
  <si>
    <t xml:space="preserve">Сформулирована идея решения проблемы и общая концепция получения результата исследования/разработки </t>
  </si>
  <si>
    <t xml:space="preserve">Подтверждены научные принципы результата исследования/разработки </t>
  </si>
  <si>
    <t>Подтверждена востребованность результата исследования/разработки</t>
  </si>
  <si>
    <t xml:space="preserve">Сформулирована ожидаемая выгода для заказчика результата исследования/разработки с учетом существующих на рынке продуктов и (или) технологий </t>
  </si>
  <si>
    <t>Сформулирована ожидаемая выгода для возможных потребителей результата исследования/разработки с учетом существующих на рынке продуктов и (или) технологий</t>
  </si>
  <si>
    <r>
      <t xml:space="preserve">Отметьте все информационные материалы, которые, по Вашей оценке, имеются в отчетной документации о результатах НИР
</t>
    </r>
    <r>
      <rPr>
        <b/>
        <i/>
        <sz val="11"/>
        <color theme="1"/>
        <rFont val="Times New Roman"/>
        <family val="1"/>
        <charset val="204"/>
      </rPr>
      <t>(перейти по ссылке на форму)</t>
    </r>
  </si>
  <si>
    <t>Перечень информационных материалов</t>
  </si>
  <si>
    <t>Перечень задач</t>
  </si>
  <si>
    <t>Материалы о механизмах возникновения заболевания в отчете о НИР</t>
  </si>
  <si>
    <t>Материалы о молекулярных мишенях в отчете о НИР</t>
  </si>
  <si>
    <t>Материалы о проведенном докинге/программном прогнозировании для выбора кандидатных молекул в отчете о НИР</t>
  </si>
  <si>
    <t>Публикация о механизмах возникновения заболевания</t>
  </si>
  <si>
    <t>Публикация о молекулярных мишенях</t>
  </si>
  <si>
    <t>Публикация о проведенном докинге/программном прогнозировании для выбора кандидатных молекул</t>
  </si>
  <si>
    <t>Монография о механизмах возникновения заболевания/ молекулярных мишенях/ проведенном докинге/программном прогнозировании для выбора кандидатных молекул</t>
  </si>
  <si>
    <t>Экспертное заключение о возможности разработки лекарственного средства</t>
  </si>
  <si>
    <t>Пояснительная записка о возможности разработки лекарственного средства</t>
  </si>
  <si>
    <t>Презентация о механизмах возникновения заболевания/ молекулярных мишенях/ проведенном докинге/программном прогнозировании для выбора кандидатных молекул</t>
  </si>
  <si>
    <t>Отчет о патентных исследованиях</t>
  </si>
  <si>
    <t>Материалы о методах синтеза в отчете о НИР</t>
  </si>
  <si>
    <t>Лабораторная технология получения целевых соединений (действующих веществ (химический/микробиологический способ получения) в отчете о НИР</t>
  </si>
  <si>
    <t>Материалы о методах идентификации целевых (биологически активных, действующих) соединений в отчете о НИР</t>
  </si>
  <si>
    <t>Материалы о методах скрининга целевых соединений (действующих веществ) в отчете о НИР</t>
  </si>
  <si>
    <t>Материалы о результатах скрининга целевых соединений (действующих веществ) в отчете о НИР</t>
  </si>
  <si>
    <t>Материалы об исследованиях зависимости активности соединения от структуры в отчете о НИР</t>
  </si>
  <si>
    <t>Публикация, содержащая экспериментальные данные (разработка методов синтеза, лабораторной технологии, проведение скрининга соединений, исследований зависимости активности от структуры)</t>
  </si>
  <si>
    <t>Монография, содержащая экспериментальные данные (разработка методов синтеза, лабораторной технологии, проведение скрининга соединений, исследований зависимости активности от структуры)</t>
  </si>
  <si>
    <t>Проект технического задания на разработку действующего вещества/активной фармацевтической субстанции (АФС) и готовой лекарственной формы (ГЛФ)</t>
  </si>
  <si>
    <t>Программа (план) исследования биологической активности соединения/фармацевтической субстанции (в отчете о НИР или в качестве отдельного документа)</t>
  </si>
  <si>
    <t>Лабораторный регламент получения действующего вещества/АФС (в отчете о НИР или в качестве отдельного документа)</t>
  </si>
  <si>
    <t>Методы идентификации действующего вещества/АФС (в отчете о НИР)</t>
  </si>
  <si>
    <t>Описание физико-химических свойств действующего вещества/АФС (в отчете о НИР)</t>
  </si>
  <si>
    <t>Оценка биологической активности действующего вещества/АФС (в отчете о НИР)</t>
  </si>
  <si>
    <t>Оценка острой токсичности действующего вещества/АФС  (в отчете о НИР)</t>
  </si>
  <si>
    <t>Акт наработки действующего вещества/АФС</t>
  </si>
  <si>
    <t>План (программа) доклинических исследований</t>
  </si>
  <si>
    <t>Проект спецификации на АФС</t>
  </si>
  <si>
    <t>Секрет производства (ноу-хау)</t>
  </si>
  <si>
    <t>Изобретение (заявка на патент, патент)</t>
  </si>
  <si>
    <t>Отчет о дополнительных патентных исследованиях</t>
  </si>
  <si>
    <t>Спецификация на АФС</t>
  </si>
  <si>
    <t>Лабораторный регламент получения готовой лекарственной формы</t>
  </si>
  <si>
    <t>Проект опытно-промышленного регламента получения готовой лекарственной формы</t>
  </si>
  <si>
    <t>Протокол исследования стабильности лекарственного препарата</t>
  </si>
  <si>
    <t>Отчет о доклинических исследованиях, включая данные:
- биологической активности (специфической активности);
- токсичности (острой, хронической, специфической);
- фармакокинетики;
- фармакодинамики</t>
  </si>
  <si>
    <t>Опытно-промышленный регламент на лекарственные препараты</t>
  </si>
  <si>
    <t>Методы анализа ЛП</t>
  </si>
  <si>
    <t>Проект нормативной документации</t>
  </si>
  <si>
    <t>Программа для ЭВМ</t>
  </si>
  <si>
    <t>База данных</t>
  </si>
  <si>
    <t>Экспериментальный образец</t>
  </si>
  <si>
    <t>Брошюра исследователя</t>
  </si>
  <si>
    <t>Информационный листок пациента:
- информация о составе лекарственного препарата для медицинского применения (I фаза КИ)</t>
  </si>
  <si>
    <t>Документ, составленный производителем лекарственного препарата для медицинского применения и содержащий показатели (характеристики), а также сведения о лекарственном препарате для медицинского применения, произведенном для проведения клинических исследований</t>
  </si>
  <si>
    <t>Проект инструкции по медицинскому применению</t>
  </si>
  <si>
    <t>Рандомизированное контролируемое испытание I фаза (РКИ I фаза)</t>
  </si>
  <si>
    <t>Рандомизированное контролируемое испытание II фаза (РКИ II фаза)</t>
  </si>
  <si>
    <t>Протокол клинического исследования лекарственного препарата</t>
  </si>
  <si>
    <t>Отчеты клинических исследований (КИ I фазы)</t>
  </si>
  <si>
    <t>Отчеты клинических исследований (КИ II фазы)</t>
  </si>
  <si>
    <t>Материалы (обзор) о заболевании/механизмах возникновения заболевания в отчете о НИР</t>
  </si>
  <si>
    <t>Материалы (обзор) методик диагностики/лечения/профилактики заболевания в отчете о НИР</t>
  </si>
  <si>
    <t>Материалы о выборе методики диагностики (лечения или профилактики) в отчете о НИР</t>
  </si>
  <si>
    <t xml:space="preserve">Презентация о заболевании/механизмах возникновения заболевания, методиках диагностики/лечения/профилактики заболевания </t>
  </si>
  <si>
    <t>Публикация (литературный или аналитический обзор) о заболевании/механизмах возникновения заболевания, методиках диагностики/лечения/профилактики заболевания</t>
  </si>
  <si>
    <t>Монография о заболевании/механизмах возникновения заболевания, методиках диагностики/лечения/профилактики заболевания</t>
  </si>
  <si>
    <t>Пояснительная записка о возможности разработки медицинского изделия</t>
  </si>
  <si>
    <t>Экспертное заключение о возможности разработки медицинского изделия</t>
  </si>
  <si>
    <t>Материалы в отчете о НИР о разработке, апробации и оптимизации методики диагностики (лечения или профилактики)</t>
  </si>
  <si>
    <t>Лабораторная технология получения элементов разрабатываемого медицинского изделия в отчете о НИР</t>
  </si>
  <si>
    <t>Описание принципа метода или принципа действия медицинского изделия в отчете о НИР</t>
  </si>
  <si>
    <t xml:space="preserve">Публикация, содержащая экспериментальные данные о разработке, апробации и оптимизации методики диагностики (лечения или профилактики), лабораторную технологию получения элементов разрабатываемого медицинского изделия, описание принципа метода и принципа действия медицинского изделия </t>
  </si>
  <si>
    <t>Монография, содержащая экспериментальные данные о разработке, апробации и оптимизации методики диагностики (лечения или профилактики), лабораторную технологию получения элементов разрабатываемого медицинского изделия, описание принципа метода и принципа действия медицинского изделия</t>
  </si>
  <si>
    <t>Проект технического задания на разработку медицинского изделия</t>
  </si>
  <si>
    <t>Описание основных функциональных элементов медицинского изделия, составных частей (узлов) медицинского изделия (при наличии) в отчете о НИР</t>
  </si>
  <si>
    <t>Лабораторная технология и регламент получения медицинского изделия</t>
  </si>
  <si>
    <t>Сведения об аналитической чувствительности (порог обнаружения), аналитической специфичности, диагностической чувствительности и диагностической специфичности ( для тест-систем) в отчете о НИР</t>
  </si>
  <si>
    <t>Данные по стабильности медицинского изделия (для тест-систем, наборов реагентов) в отчете о НИР или отдельным документом</t>
  </si>
  <si>
    <t>Программа (план) исследований медицинского изделия</t>
  </si>
  <si>
    <t>Информация о проведенных лабораторных и (или) заводских испытаниях</t>
  </si>
  <si>
    <t>Протоколы испытаний в испытательных лабораториях (центрах)</t>
  </si>
  <si>
    <t>Протоколы испытаний в условиях, имитирующих эксплуатационные</t>
  </si>
  <si>
    <t>Протоколы лабораторных испытаний на животных (если применимо)</t>
  </si>
  <si>
    <t>Анализ полученных данных по итогам лабораторных испытаний</t>
  </si>
  <si>
    <t>Полезная модель (заявка на патент, патент)</t>
  </si>
  <si>
    <t>Техническая документация</t>
  </si>
  <si>
    <t>Документы, подтверждающие результаты технических испытаний медицинского изделия</t>
  </si>
  <si>
    <t>Документы, подтверждающие результаты токсикологических исследований медицинского изделия, использование которого предполагает наличие контакта с организмом человека (в случае необходимости)</t>
  </si>
  <si>
    <t>Документы, подтверждающие результаты клинико-лабораторных испытаний медицинского изделия, использование которого предполагает наличие контакта с организмом человека (в случае необходимости)</t>
  </si>
  <si>
    <t>Документы, подтверждающие результаты испытаний медицинского изделия в целях утверждения типа средств измерений (в случае необходимости)</t>
  </si>
  <si>
    <t>Заявление о государственной регистрации медицинского изделия с документами, указанным в Правилах регистрации медицинского изделия</t>
  </si>
  <si>
    <t>Отчет о НИР, содержащий:
- материалы о заболевании или состоянии (группе заболеваний или состояниях);
- этиология и патогенез, эпидемиология, классификация, клиническая картина.</t>
  </si>
  <si>
    <t>Медико-экономическое обоснование разработки методов диагностики/лечения/реабилитации/профилактики для включения в клинические рекомендации</t>
  </si>
  <si>
    <t>Презентация</t>
  </si>
  <si>
    <t>Публикация, содержащая экспериментальные данные, о разработке методов диагностики/лечения/реабилитации/профилактики</t>
  </si>
  <si>
    <t>Пояснительная записка</t>
  </si>
  <si>
    <t>Экспертное заключение</t>
  </si>
  <si>
    <t>Монография, содержащая экспериментальные данные о разработке методов диагностики/лечения/реабилитации/профилактики</t>
  </si>
  <si>
    <t>Отчет о НИР, включающий:
- материалы о целевых областях применения методов диагностики/лечения/реабилитации/профилактики</t>
  </si>
  <si>
    <t>Экспериментальные данные, подтверждающие работоспособность и применимость разрабатываемых методов</t>
  </si>
  <si>
    <t>Стандартизированный и (или) валидированный и (или) верифицированный:
- метод диагностики;
- метод лечения;
- метод реабилитации;
-метод профилактики</t>
  </si>
  <si>
    <t>Проект технического задания на разработку активной фармацевтической субстанции (АФС) и готовой лекарственной формы (ГЛФ)</t>
  </si>
  <si>
    <t>Изобретение</t>
  </si>
  <si>
    <t>Полезная модель</t>
  </si>
  <si>
    <t>Стандартные операционные процедуры (в рамках системы менеджмента качества)</t>
  </si>
  <si>
    <t>Обзор существующих клинических рекомендаций и оценка их качества</t>
  </si>
  <si>
    <t>Критическая оценка научной обоснованности, включаемой в клинические рекомендации информации</t>
  </si>
  <si>
    <t>Оценка уровней достоверности доказательств для методов диагностики, профилактики, лечения, медицинской реабилитации, в том числе основанных на использовании природных лечебных факторов (диагностических, профилактических, лечебных, реабилитационных вмешательств)</t>
  </si>
  <si>
    <t>Уведомление о начале разработки клинических рекомендаций</t>
  </si>
  <si>
    <t>Проект клинических рекомендаций</t>
  </si>
  <si>
    <t>Отзывы на проект клинических рекомендаций</t>
  </si>
  <si>
    <t>Доработанный проект клинических рекомендаций</t>
  </si>
  <si>
    <t>Аналитическая записка</t>
  </si>
  <si>
    <t>Материалы в отчете о научно-исследовательской работе</t>
  </si>
  <si>
    <t>Справка</t>
  </si>
  <si>
    <t>Монография</t>
  </si>
  <si>
    <t>Публикация</t>
  </si>
  <si>
    <r>
      <t xml:space="preserve">Определите, к каким сквозным технологиям, отмеченным в указе Президента Российской Федерации от 18 июня 2024 года № 529 "Об утверждении приоритетных направлений научно-технологического развития и перечня важнейших наукоемких технологий" относится результат НИР
</t>
    </r>
    <r>
      <rPr>
        <b/>
        <i/>
        <sz val="11"/>
        <color theme="1"/>
        <rFont val="Times New Roman"/>
        <family val="1"/>
        <charset val="204"/>
      </rPr>
      <t>(перейти по ссылке на форму)</t>
    </r>
  </si>
  <si>
    <r>
      <t xml:space="preserve">Определите, к каким критическим технологиям, отмеченным в указе Президента Российской Федерации от 18 июня 2024 года № 529 "Об утверждении приоритетных направлений научно-технологического развития и перечня важнейших наукоемких технологий" относится результат НИР
</t>
    </r>
    <r>
      <rPr>
        <b/>
        <i/>
        <sz val="11"/>
        <color theme="1"/>
        <rFont val="Times New Roman"/>
        <family val="1"/>
        <charset val="204"/>
      </rPr>
      <t>(перейти по ссылке на форму)</t>
    </r>
  </si>
  <si>
    <t>Определите, соответствует ли достигнутый научный результат НИР тем ожидаемым результатам, которые указаны в проекте тематики научного исследования</t>
  </si>
  <si>
    <t>Перечень критических технологий</t>
  </si>
  <si>
    <t>Биомедицинские и когнитивные технологии здорового и активного долголетия</t>
  </si>
  <si>
    <t>Технологии разработки лекарственных средств и платформ нового поколения (биотехнологических, высокотехнологичных и радиофармацевтических лекарственных препаратов)</t>
  </si>
  <si>
    <t>Технологии персонализированного, лечебного и функционального питания для здоровьесбережения</t>
  </si>
  <si>
    <t>Технологии разработки медицинских изделий нового поколения, включая биогибридные, бионические технологии и нейротехнологии</t>
  </si>
  <si>
    <t>Перечень сквозных технологий</t>
  </si>
  <si>
    <t>Технологии, основанные на методах синтетической биологии и генной инженерии</t>
  </si>
  <si>
    <t>Технологии создания новых материалов с заданными свойствами и эксплуатационными характеристиками</t>
  </si>
  <si>
    <t>Технологии производства малотоннажной химической продукции, включая особо чистые вещества, для фармацевтики, энергетики и микроэлектроники</t>
  </si>
  <si>
    <t>Биотехнологии в отраслях экономики</t>
  </si>
  <si>
    <t>Number</t>
  </si>
  <si>
    <t>Conformity</t>
  </si>
  <si>
    <t>Соответствует</t>
  </si>
  <si>
    <t>Частично соответствует</t>
  </si>
  <si>
    <t>Не соответствует</t>
  </si>
  <si>
    <t xml:space="preserve">Анкета проведения экспертизы проекта КПМ </t>
  </si>
  <si>
    <t>Оценка результатов научно-исследовательских работ</t>
  </si>
  <si>
    <t>Общий вывод</t>
  </si>
  <si>
    <t>Отметьте все задачи, полностью решенные к моменту завершения НИР или данного этапа НИР в рамках достижения УГТ оцениваемого научного результата</t>
  </si>
  <si>
    <t>Отметьте все информационные материалы, которые, по Вашей оценке, 
имеются в отчетной документации о результатах НИР</t>
  </si>
  <si>
    <r>
      <t xml:space="preserve">Определите, к какому виду относится достигнутый результат НИР, возможен выбор  </t>
    </r>
    <r>
      <rPr>
        <b/>
        <i/>
        <sz val="11"/>
        <color theme="1"/>
        <rFont val="Times New Roman"/>
        <family val="1"/>
        <charset val="204"/>
      </rPr>
      <t>(выбрать  результат из  выпадающего списка)</t>
    </r>
  </si>
  <si>
    <r>
      <t xml:space="preserve">Определите, к какому типу относится достигнутый результат НИР </t>
    </r>
    <r>
      <rPr>
        <b/>
        <i/>
        <sz val="11"/>
        <color theme="1"/>
        <rFont val="Times New Roman"/>
        <family val="1"/>
        <charset val="204"/>
      </rPr>
      <t>(выбрать тип результата из  выпадающего списка)</t>
    </r>
  </si>
  <si>
    <t>Отметьте критические технгологии, к которым, по Вашей оценке, 
относится результат НИР</t>
  </si>
  <si>
    <t>Отметьте сквозные технгологии, к которым, по Вашей оценке, 
относится результат НИР</t>
  </si>
  <si>
    <t>Год начала проекта</t>
  </si>
  <si>
    <t>Год окончания проекта</t>
  </si>
  <si>
    <r>
      <rPr>
        <b/>
        <sz val="11"/>
        <color rgb="FFFF0000"/>
        <rFont val="Times New Roman"/>
        <family val="1"/>
        <charset val="204"/>
      </rPr>
      <t>Для проектов завершенных в 2024 году</t>
    </r>
    <r>
      <rPr>
        <b/>
        <sz val="11"/>
        <color theme="1"/>
        <rFont val="Times New Roman"/>
        <family val="1"/>
        <charset val="204"/>
      </rPr>
      <t xml:space="preserve">
Определите, могут ли научные результаты, полученные при выполнении научно-исследовательской работы, при наличии финансирования стать основой для последующих НИОКТР
</t>
    </r>
    <r>
      <rPr>
        <b/>
        <i/>
        <sz val="11"/>
        <color theme="1"/>
        <rFont val="Times New Roman"/>
        <family val="1"/>
        <charset val="204"/>
      </rPr>
      <t>(перейти по ссылке на форму)</t>
    </r>
  </si>
  <si>
    <r>
      <rPr>
        <b/>
        <sz val="11"/>
        <color rgb="FFFF0000"/>
        <rFont val="Times New Roman"/>
        <family val="1"/>
        <charset val="204"/>
      </rPr>
      <t>Для проектов завершенных в 2024 году</t>
    </r>
    <r>
      <rPr>
        <b/>
        <sz val="11"/>
        <color theme="1"/>
        <rFont val="Times New Roman"/>
        <family val="1"/>
        <charset val="204"/>
      </rPr>
      <t xml:space="preserve">
Определите результаты, которые могут быть достигнуты в интервал 2026-2030 гг.
</t>
    </r>
    <r>
      <rPr>
        <b/>
        <i/>
        <sz val="11"/>
        <color theme="1"/>
        <rFont val="Times New Roman"/>
        <family val="1"/>
        <charset val="204"/>
      </rPr>
      <t>(перейти по ссылке на форму)</t>
    </r>
  </si>
  <si>
    <t>Choice</t>
  </si>
  <si>
    <t>Да, при условии существенной интенсификации научной работы возможно достижение следующих результатов* на основе полученных научных результатов в интервале времени 2026-2030 гг.</t>
  </si>
  <si>
    <t>Да, полученные научные результаты могут быть основой для последующих НИОКТР с достижением следующих результатов* в интервале времени 2026-2030 годы</t>
  </si>
  <si>
    <t>Нет, полученные научные результаты не относятся к указанным направлениям*</t>
  </si>
  <si>
    <t>Нет, в интервал времени 2026-2030 достижение указанных результатов* невозможно на основе достигнутых результатов НИР</t>
  </si>
  <si>
    <t>Основа для выполнения последующих НИОКТР в период 2026-2030 гг.</t>
  </si>
  <si>
    <t>Не выбран ни один вариант</t>
  </si>
  <si>
    <t>Могут ли научные результаты,
полученные при выполнении научно-исследовательской работы, 
при наличии финансирования стать основой для последующих НИОКТР
с достижением следующих результатов* в интервале времени 2026-2030 годы</t>
  </si>
  <si>
    <t>Разработаны технологии превентивной медицины и здорового питания для внедрения медицинскими подразделениями медицинской профилактики (центрами здоровья)</t>
  </si>
  <si>
    <t>Разработаны технологии, направленные на диагностику биологического возраста, включая разработку и внедрение новых тест-систем, и его коррекцию</t>
  </si>
  <si>
    <t>Проведены исследования, направленные на оценку процессов старения клеток и выявления причин старения</t>
  </si>
  <si>
    <t>Проведены клинические исследования лекарственных препаратов и медицинских изделий, направленных на снижение бремени возраст-ассоциированных заболеваний</t>
  </si>
  <si>
    <t>Разработаны и внедрены индивидуальные (под конкретного пациента) лекарственные препараты, в том числе с использованием генетических технологий</t>
  </si>
  <si>
    <t>Разработаны (зарегистрированы) новые медицинские изделия (оборудование), основанные на биопечати, и медицинские технологии, связанные с их применением</t>
  </si>
  <si>
    <t>Разработаны новые медицинские технологии, лекарственные средства, медицинские изделия, на базе нейротехнологий, направленные на предупреждение и лечение когнитивных и сенсорных нарушений</t>
  </si>
  <si>
    <t>*</t>
  </si>
  <si>
    <r>
      <t xml:space="preserve">выберите ответ </t>
    </r>
    <r>
      <rPr>
        <sz val="11"/>
        <color theme="0" tint="-0.499984740745262"/>
        <rFont val="Symbol"/>
        <family val="1"/>
        <charset val="2"/>
      </rPr>
      <t>­</t>
    </r>
  </si>
  <si>
    <t>Перечень ожидаемых результатов в интервале времени 2026-2030 годы</t>
  </si>
  <si>
    <t>Отметьте результаты, которые могут быть достигнуты в интервале 2026-2030 гг.</t>
  </si>
  <si>
    <t>Федеральное государственное бюджетное научное учреждение "Научно-исследовательский институт медицины труда имени академика Н.Ф.Измерова"</t>
  </si>
  <si>
    <t>КПМ-0244</t>
  </si>
  <si>
    <t>Определение критериев профпригодности в условиях воздействия вредных производственных факторов работников, перенесших новую коронавирусную инфекцию (COVID-19)</t>
  </si>
  <si>
    <t>FGFE-2023-0008</t>
  </si>
  <si>
    <t>Получены предварительные результаты исследования состояния слуха групп работников «шумовых» производств.</t>
  </si>
  <si>
    <t>Проводится формирование базы данных работников «шумовых» профессий, перенесших COVID-19,  для оценки влияния вирусной нагрузки на сроки формирования нейросенсорной тугоухости в условиях воздействия производственного шума.</t>
  </si>
  <si>
    <t>Проведен анализ частоты выявления, сроков формирования и степени выраженности снижения слуховой функции в группах сравнения по данным субъективных и объективных методов исследования слуховой функции.</t>
  </si>
  <si>
    <t>Нет</t>
  </si>
  <si>
    <t>У лиц, перенесших COVID-19, выявлено не только подавление спектра вызванной отоакустической эмиссии, но и снижение амплитуды ответа на звуковую стимуляцию.</t>
  </si>
  <si>
    <t>Проведен анализ литературных данных о влиянии коронавирусной инфекции COVID-19 на состояние слуховой функции. Выявлено, что потеря слуха может быть неспецифическим симптомом COVID-19.</t>
  </si>
  <si>
    <t xml:space="preserve">На основании обзора литературных источников показано, что потеря слуха может быть неспецифическим симптомом COVID-19. По результатам работы опубликована 1 статья (журнал категории Q2,K1), практическое руководство, тезисы конференции).  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</si>
</sst>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u/>
      <sz val="11"/>
      <color rgb="FF0000FF"/>
      <name val="Calibri"/>
      <family val="2"/>
      <charset val="204"/>
      <scheme val="minor"/>
    </font>
    <font>
      <b/>
      <u/>
      <sz val="16"/>
      <color theme="10"/>
      <name val="Times New Roman"/>
      <family val="1"/>
      <charset val="204"/>
    </font>
    <font>
      <sz val="11"/>
      <color theme="0" tint="-4.9989318521683403E-2"/>
      <name val="Calibri"/>
      <family val="2"/>
      <charset val="204"/>
      <scheme val="minor"/>
    </font>
    <font>
      <sz val="11"/>
      <color theme="0"/>
      <name val="Times New Roman"/>
      <family val="1"/>
      <charset val="204"/>
    </font>
    <font>
      <b/>
      <sz val="16"/>
      <color theme="0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sz val="8"/>
      <color rgb="FF000000"/>
      <name val="Segoe UI"/>
      <family val="2"/>
      <charset val="204"/>
    </font>
    <font>
      <b/>
      <sz val="11"/>
      <color rgb="FFFF0000"/>
      <name val="Times New Roman"/>
      <family val="1"/>
      <charset val="204"/>
    </font>
    <font>
      <i/>
      <sz val="11"/>
      <color theme="0" tint="-0.34998626667073579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sz val="11"/>
      <color theme="0" tint="-0.499984740745262"/>
      <name val="Symbol"/>
      <family val="1"/>
      <charset val="2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Border="1" applyAlignment="1">
      <alignment vertical="top"/>
    </xf>
    <xf numFmtId="0" fontId="2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0" fontId="8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8" fillId="3" borderId="0" xfId="0" applyFont="1" applyFill="1" applyAlignment="1">
      <alignment vertical="top"/>
    </xf>
    <xf numFmtId="0" fontId="5" fillId="2" borderId="0" xfId="0" applyFont="1" applyFill="1"/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top"/>
    </xf>
    <xf numFmtId="0" fontId="18" fillId="0" borderId="0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1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/>
    <xf numFmtId="0" fontId="1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14" fillId="2" borderId="11" xfId="0" applyFont="1" applyFill="1" applyBorder="1" applyProtection="1">
      <protection locked="0"/>
    </xf>
    <xf numFmtId="0" fontId="14" fillId="2" borderId="11" xfId="0" applyFont="1" applyFill="1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wrapText="1"/>
      <protection locked="0"/>
    </xf>
    <xf numFmtId="0" fontId="0" fillId="0" borderId="0" xfId="0" applyFill="1" applyBorder="1"/>
    <xf numFmtId="0" fontId="5" fillId="0" borderId="1" xfId="0" applyFont="1" applyFill="1" applyBorder="1" applyAlignment="1" applyProtection="1">
      <alignment wrapText="1"/>
      <protection locked="0"/>
    </xf>
    <xf numFmtId="0" fontId="12" fillId="0" borderId="1" xfId="1" applyFont="1" applyFill="1" applyBorder="1" applyAlignment="1" applyProtection="1">
      <alignment wrapText="1"/>
      <protection locked="0" hidden="1"/>
    </xf>
    <xf numFmtId="0" fontId="9" fillId="0" borderId="11" xfId="0" applyFont="1" applyBorder="1" applyAlignment="1">
      <alignment wrapText="1"/>
    </xf>
    <xf numFmtId="0" fontId="1" fillId="0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21" fillId="0" borderId="0" xfId="0" applyFont="1"/>
    <xf numFmtId="0" fontId="0" fillId="2" borderId="7" xfId="0" applyFill="1" applyBorder="1" applyAlignment="1">
      <alignment horizontal="center" vertical="top"/>
    </xf>
    <xf numFmtId="0" fontId="0" fillId="2" borderId="7" xfId="0" applyFill="1" applyBorder="1"/>
    <xf numFmtId="0" fontId="3" fillId="2" borderId="8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2" borderId="0" xfId="1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wrapText="1"/>
    </xf>
    <xf numFmtId="0" fontId="5" fillId="2" borderId="7" xfId="0" applyFont="1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7" xfId="0" applyFont="1" applyFill="1" applyBorder="1" applyAlignment="1">
      <alignment horizontal="left" wrapText="1"/>
    </xf>
    <xf numFmtId="0" fontId="0" fillId="2" borderId="7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2" fillId="2" borderId="7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60;&#1086;&#1088;&#1084;&#1072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447676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41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447676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41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447676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419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485775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45719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485775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45719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485775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45719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28576</xdr:rowOff>
    </xdr:from>
    <xdr:to>
      <xdr:col>1</xdr:col>
      <xdr:colOff>590551</xdr:colOff>
      <xdr:row>0</xdr:row>
      <xdr:rowOff>581026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28576"/>
          <a:ext cx="41910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2"/>
  <dimension ref="A1:AX15"/>
  <sheetViews>
    <sheetView showGridLines="0" tabSelected="1" topLeftCell="F9" zoomScale="90" zoomScaleNormal="90" workbookViewId="0">
      <selection activeCell="L12" sqref="L12"/>
    </sheetView>
  </sheetViews>
  <sheetFormatPr defaultColWidth="9.109375" defaultRowHeight="14.4"/>
  <cols>
    <col min="1" max="1" width="3.6640625" style="1" customWidth="1"/>
    <col min="2" max="2" width="25.5546875" style="1" customWidth="1"/>
    <col min="3" max="3" width="21.33203125" style="1" customWidth="1"/>
    <col min="4" max="4" width="21.5546875" style="1" customWidth="1"/>
    <col min="5" max="5" width="22.44140625" style="1" customWidth="1"/>
    <col min="6" max="6" width="22.33203125" style="1" customWidth="1"/>
    <col min="7" max="7" width="30.5546875" style="1" customWidth="1"/>
    <col min="8" max="8" width="30.88671875" style="1" customWidth="1"/>
    <col min="9" max="9" width="25.109375" style="1" customWidth="1"/>
    <col min="10" max="10" width="23" style="1" customWidth="1"/>
    <col min="11" max="11" width="21" style="1" customWidth="1"/>
    <col min="12" max="12" width="18.5546875" style="1" customWidth="1"/>
    <col min="13" max="14" width="9.109375" style="1"/>
    <col min="15" max="15" width="9.109375" style="1" customWidth="1"/>
    <col min="16" max="16384" width="9.109375" style="1"/>
  </cols>
  <sheetData>
    <row r="1" spans="1:50" ht="45" customHeight="1">
      <c r="A1" s="62" t="s">
        <v>392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AU1" s="5"/>
      <c r="AV1" s="5"/>
      <c r="AW1" s="5"/>
      <c r="AX1" s="5"/>
    </row>
    <row r="2" spans="1:50" ht="30" customHeight="1">
      <c r="A2" s="64" t="s">
        <v>53</v>
      </c>
      <c r="B2" s="64"/>
      <c r="C2" s="52" t="s">
        <v>425</v>
      </c>
      <c r="D2" s="51"/>
      <c r="E2" s="51"/>
      <c r="F2" s="51"/>
      <c r="G2" s="51"/>
      <c r="H2" s="51"/>
      <c r="I2" s="51"/>
      <c r="J2" s="51"/>
      <c r="K2" s="51"/>
      <c r="L2" s="51"/>
      <c r="M2" s="3"/>
      <c r="N2" s="3"/>
      <c r="AU2"/>
      <c r="AV2"/>
      <c r="AW2"/>
      <c r="AX2"/>
    </row>
    <row r="3" spans="1:50" ht="30" customHeight="1">
      <c r="A3" s="65" t="s">
        <v>21</v>
      </c>
      <c r="B3" s="65"/>
      <c r="C3" s="52" t="s">
        <v>426</v>
      </c>
      <c r="D3" s="51"/>
      <c r="E3" s="51"/>
      <c r="F3" s="51"/>
      <c r="G3" s="51"/>
      <c r="H3" s="51"/>
      <c r="I3" s="51"/>
      <c r="J3" s="51"/>
      <c r="K3" s="51"/>
      <c r="L3" s="51"/>
      <c r="M3" s="3"/>
      <c r="N3" s="3"/>
      <c r="AU3"/>
      <c r="AV3"/>
      <c r="AW3"/>
      <c r="AX3"/>
    </row>
    <row r="4" spans="1:50" ht="30" customHeight="1">
      <c r="A4" s="65" t="s">
        <v>7</v>
      </c>
      <c r="B4" s="65"/>
      <c r="C4" s="52" t="s">
        <v>427</v>
      </c>
      <c r="D4" s="51"/>
      <c r="E4" s="51"/>
      <c r="F4" s="51"/>
      <c r="G4" s="51"/>
      <c r="H4" s="51"/>
      <c r="I4" s="51"/>
      <c r="J4" s="51"/>
      <c r="K4" s="51"/>
      <c r="L4" s="51"/>
      <c r="M4" s="3"/>
      <c r="N4" s="3"/>
      <c r="AU4"/>
      <c r="AV4"/>
      <c r="AW4"/>
      <c r="AX4"/>
    </row>
    <row r="5" spans="1:50" ht="30" customHeight="1">
      <c r="A5" s="65" t="s">
        <v>1</v>
      </c>
      <c r="B5" s="65"/>
      <c r="C5" s="52" t="s">
        <v>424</v>
      </c>
      <c r="D5" s="51"/>
      <c r="E5" s="51"/>
      <c r="F5" s="51"/>
      <c r="G5" s="51"/>
      <c r="H5" s="51"/>
      <c r="I5" s="51"/>
      <c r="J5" s="51"/>
      <c r="K5" s="51"/>
      <c r="L5" s="51"/>
      <c r="M5" s="3"/>
      <c r="N5" s="3"/>
      <c r="AV5"/>
      <c r="AW5"/>
    </row>
    <row r="6" spans="1:50" ht="30" customHeight="1">
      <c r="A6" s="65" t="s">
        <v>401</v>
      </c>
      <c r="B6" s="65"/>
      <c r="C6" s="52">
        <v>2023</v>
      </c>
      <c r="D6" s="51"/>
      <c r="E6" s="51"/>
      <c r="F6" s="51"/>
      <c r="G6" s="51"/>
      <c r="H6" s="51"/>
      <c r="I6" s="51"/>
      <c r="J6" s="51"/>
      <c r="K6" s="51"/>
      <c r="L6" s="51"/>
      <c r="M6" s="3"/>
      <c r="N6" s="3"/>
      <c r="AV6"/>
      <c r="AW6"/>
    </row>
    <row r="7" spans="1:50" ht="30" customHeight="1">
      <c r="A7" s="65" t="s">
        <v>402</v>
      </c>
      <c r="B7" s="65"/>
      <c r="C7" s="52">
        <v>2025</v>
      </c>
      <c r="D7" s="51"/>
      <c r="E7" s="51"/>
      <c r="F7" s="51"/>
      <c r="G7" s="51"/>
      <c r="H7" s="51"/>
      <c r="I7" s="51"/>
      <c r="J7" s="51"/>
      <c r="K7" s="51"/>
      <c r="L7" s="51"/>
      <c r="M7" s="3"/>
      <c r="N7" s="3"/>
      <c r="AV7"/>
      <c r="AW7"/>
    </row>
    <row r="8" spans="1:50" ht="58.5" customHeight="1">
      <c r="A8" s="59" t="s">
        <v>393</v>
      </c>
      <c r="B8" s="60"/>
      <c r="C8" s="61"/>
      <c r="D8" s="61"/>
      <c r="E8" s="61"/>
      <c r="F8" s="61"/>
      <c r="G8" s="61"/>
      <c r="H8" s="61"/>
      <c r="I8" s="61"/>
      <c r="J8" s="61"/>
      <c r="K8" s="61"/>
      <c r="L8" s="61"/>
      <c r="M8" s="3"/>
      <c r="N8" s="3"/>
      <c r="AV8"/>
      <c r="AW8"/>
    </row>
    <row r="9" spans="1:50" ht="180.6">
      <c r="A9" s="21" t="s">
        <v>0</v>
      </c>
      <c r="B9" s="29" t="s">
        <v>397</v>
      </c>
      <c r="C9" s="29" t="s">
        <v>398</v>
      </c>
      <c r="D9" s="29" t="s">
        <v>172</v>
      </c>
      <c r="E9" s="29" t="s">
        <v>173</v>
      </c>
      <c r="F9" s="29" t="s">
        <v>262</v>
      </c>
      <c r="G9" s="29" t="s">
        <v>375</v>
      </c>
      <c r="H9" s="29" t="s">
        <v>374</v>
      </c>
      <c r="I9" s="54" t="s">
        <v>403</v>
      </c>
      <c r="J9" s="54" t="s">
        <v>404</v>
      </c>
      <c r="K9" s="29" t="s">
        <v>376</v>
      </c>
      <c r="L9" s="43" t="s">
        <v>394</v>
      </c>
      <c r="M9" s="3"/>
      <c r="N9" s="3"/>
      <c r="O9" s="3"/>
      <c r="P9" s="3"/>
      <c r="Q9" s="3"/>
      <c r="R9" s="3"/>
    </row>
    <row r="10" spans="1:50" ht="221.4">
      <c r="A10" s="24">
        <v>1</v>
      </c>
      <c r="B10" s="49" t="s">
        <v>67</v>
      </c>
      <c r="C10" s="49" t="s">
        <v>57</v>
      </c>
      <c r="D10" s="50" t="str">
        <f>IF(OR(B10=O10,C10=O10),"",HYPERLINK("#Р1!A6","переход на форму"))</f>
        <v>переход на форму</v>
      </c>
      <c r="E10" s="50" t="str">
        <f>IF(OR(B10=O10,C10=O10),"",IF(C10="Лекарственный препарат",HYPERLINK("#Р1_УГТ_ЛП!A6","переход на форму"),IF(C10="Медицинское изделие",HYPERLINK("#Р1_УГТ_МИ!A6","переход на форму"),IF(C10="Клинические рекомендации",HYPERLINK("#Р1_УГТ_КР!A6","переход на форму"),IF(C10="Иное",HYPERLINK("#Р1_УГТ_Иное!A6","переход на форму"),"")))))</f>
        <v>переход на форму</v>
      </c>
      <c r="F10" s="50" t="str">
        <f>IF(OR(B10=O10,C10=O10),"",IF(C10="Лекарственный препарат",HYPERLINK("#Р1_ДОК_ЛП!A6","переход на форму"),IF(C10="Медицинское изделие",HYPERLINK("#Р1_ДОК_МИ!A6","переход на форму"),IF(C10="Клинические рекомендации",HYPERLINK("#Р1_ДОК_КР!A6","переход на форму"),IF(C10="Иное",HYPERLINK("#Р1_ДОК_Иное!A6","переход на форму"),"")))))</f>
        <v>переход на форму</v>
      </c>
      <c r="G10" s="50" t="str">
        <f>IF(OR(B10=O10,C10=O10),"",HYPERLINK("#Р1_КТ!A6","переход на форму"))</f>
        <v>переход на форму</v>
      </c>
      <c r="H10" s="50" t="str">
        <f>IF(OR(B10=O10,C10=O10),"",HYPERLINK("#Р1_СТ!A6","переход на форму"))</f>
        <v>переход на форму</v>
      </c>
      <c r="I10" s="50" t="str">
        <f>IF(OR(B10=O10,C10=O10,C7&lt;&gt;2024),"",HYPERLINK("#Р1_НИОКТР_1!A6","переход на форму"))</f>
        <v/>
      </c>
      <c r="J10" s="50" t="str">
        <f>IF(OR(B10=O10,C10=O10,C7&lt;&gt;2024,Р1_НИОКТР_1!E7&lt;140),"",HYPERLINK("#Р1_НИОКТР_2!A6","переход на форму"))</f>
        <v/>
      </c>
      <c r="K10" s="49" t="s">
        <v>389</v>
      </c>
      <c r="L10" s="47" t="s">
        <v>429</v>
      </c>
      <c r="M10" s="3"/>
      <c r="N10" s="3"/>
    </row>
    <row r="11" spans="1:50" ht="111">
      <c r="A11" s="24">
        <v>2</v>
      </c>
      <c r="B11" s="49" t="s">
        <v>65</v>
      </c>
      <c r="C11" s="49" t="s">
        <v>57</v>
      </c>
      <c r="D11" s="50" t="str">
        <f>IF(OR(B11=O11,C11=O11),"",HYPERLINK("#Р2!A6","переход на форму"))</f>
        <v>переход на форму</v>
      </c>
      <c r="E11" s="50" t="str">
        <f>IF(OR(B11=O11,C11=O11),"",IF(C11="Лекарственный препарат",HYPERLINK("#Р2_УГТ_ЛП!A6","переход на форму"),IF(C11="Медицинское изделие",HYPERLINK("#Р2_УГТ_МИ!A6","переход на форму"),IF(C11="Клинические рекомендации",HYPERLINK("#Р2_УГТ_КР!A6","переход на форму"),IF(C11="Иное",HYPERLINK("#Р2_УГТ_Иное!A6","переход на форму"),"")))))</f>
        <v>переход на форму</v>
      </c>
      <c r="F11" s="50" t="str">
        <f>IF(OR(B11=O11,C11=O11),"",IF(C11="Лекарственный препарат",HYPERLINK("#Р2_ДОК_ЛП!A6","переход на форму"),IF(C11="Медицинское изделие",HYPERLINK("#Р2_ДОК_МИ!A6","переход на форму"),IF(C11="Клинические рекомендации",HYPERLINK("#Р2_ДОК_КР!A6","переход на форму"),IF(C11="Иное",HYPERLINK("#Р2_ДОК_Иное!A6","переход на форму"),"")))))</f>
        <v>переход на форму</v>
      </c>
      <c r="G11" s="50" t="str">
        <f>IF(OR(B11=O11,C11=O11),"",HYPERLINK("#Р2_КТ!A6","переход на форму"))</f>
        <v>переход на форму</v>
      </c>
      <c r="H11" s="50" t="str">
        <f>IF(OR(B11=O11,C11=O11),"",HYPERLINK("#Р2_СТ!A6","переход на форму"))</f>
        <v>переход на форму</v>
      </c>
      <c r="I11" s="50" t="str">
        <f>IF(OR(B11=O11,C11=O11,C7&lt;&gt;2024),"",HYPERLINK("#Р2_НИОКТР_1!A6","переход на форму"))</f>
        <v/>
      </c>
      <c r="J11" s="50" t="str">
        <f>IF(OR(B11=O11,C11=O11,C7&lt;&gt;2024,Р2_НИОКТР_1!E7&lt;140),"",HYPERLINK("#Р2_НИОКТР_2!A6","переход на форму"))</f>
        <v/>
      </c>
      <c r="K11" s="49" t="s">
        <v>389</v>
      </c>
      <c r="L11" s="47" t="s">
        <v>428</v>
      </c>
      <c r="M11" s="3"/>
      <c r="N11" s="3"/>
    </row>
    <row r="12" spans="1:50" ht="249">
      <c r="A12" s="24">
        <v>3</v>
      </c>
      <c r="B12" s="49" t="s">
        <v>72</v>
      </c>
      <c r="C12" s="49" t="s">
        <v>58</v>
      </c>
      <c r="D12" s="50" t="str">
        <f>IF(OR(B12=O12,C12=O12),"",HYPERLINK("#Р3!A6","переход на форму"))</f>
        <v>переход на форму</v>
      </c>
      <c r="E12" s="50" t="str">
        <f>IF(OR(B12=O12,C12=O12),"",IF(C12="Лекарственный препарат",HYPERLINK("#Р3_УГТ_ЛП!A6","переход на форму"),IF(C12="Медицинское изделие",HYPERLINK("#Р3_УГТ_МИ!A6","переход на форму"),IF(C12="Клинические рекомендации",HYPERLINK("#Р3_УГТ_КР!A6","переход на форму"),IF(C12="Иное",HYPERLINK("#Р3_УГТ_Иное!A6","переход на форму"),"")))))</f>
        <v>переход на форму</v>
      </c>
      <c r="F12" s="50" t="str">
        <f>IF(OR(B12=O12,C12=O12),"",IF(C12="Лекарственный препарат",HYPERLINK("#Р3_ДОК_ЛП!A6","переход на форму"),IF(C12="Медицинское изделие",HYPERLINK("#Р3_ДОК_МИ!A6","переход на форму"),IF(C12="Клинические рекомендации",HYPERLINK("#Р3_ДОК_КР!A6","переход на форму"),IF(C12="Иное",HYPERLINK("#Р3_ДОК_Иное!A6","переход на форму"),"")))))</f>
        <v>переход на форму</v>
      </c>
      <c r="G12" s="50" t="str">
        <f>IF(OR(B12=O12,C12=O12),"",HYPERLINK("#Р3_КТ!A6","переход на форму"))</f>
        <v>переход на форму</v>
      </c>
      <c r="H12" s="50" t="str">
        <f>IF(OR(B12=O12,C12=O12),"",HYPERLINK("#Р3_СТ!A6","переход на форму"))</f>
        <v>переход на форму</v>
      </c>
      <c r="I12" s="50" t="str">
        <f>IF(OR(B12=O12,C12=O12,C7&lt;&gt;2024),"",HYPERLINK("#Р3_НИОКТР_1!A6","переход на форму"))</f>
        <v/>
      </c>
      <c r="J12" s="50" t="str">
        <f>IF(OR(B12=O12,C12=O12,C7&lt;&gt;2024,Р3_НИОКТР_1!E7&lt;140),"",HYPERLINK("#Р3_НИОКТР_2!A6","переход на форму"))</f>
        <v/>
      </c>
      <c r="K12" s="49" t="s">
        <v>389</v>
      </c>
      <c r="L12" s="47" t="s">
        <v>434</v>
      </c>
      <c r="M12" s="3"/>
      <c r="N12" s="3"/>
    </row>
    <row r="13" spans="1:50">
      <c r="A13" s="3"/>
      <c r="B13" s="3"/>
      <c r="C13" s="3"/>
    </row>
    <row r="14" spans="1:50">
      <c r="A14" s="3"/>
      <c r="B14" s="3"/>
      <c r="C14" s="3"/>
    </row>
    <row r="15" spans="1:50">
      <c r="A15" s="3"/>
      <c r="B15" s="3"/>
      <c r="C15" s="3"/>
    </row>
  </sheetData>
  <sheetProtection sheet="1" selectLockedCells="1"/>
  <mergeCells count="8">
    <mergeCell ref="A8:L8"/>
    <mergeCell ref="A1:L1"/>
    <mergeCell ref="A2:B2"/>
    <mergeCell ref="A3:B3"/>
    <mergeCell ref="A4:B4"/>
    <mergeCell ref="A5:B5"/>
    <mergeCell ref="A6:B6"/>
    <mergeCell ref="A7:B7"/>
  </mergeCells>
  <conditionalFormatting sqref="D2">
    <cfRule type="cellIs" dxfId="77" priority="51" operator="equal">
      <formula>"заполняется куратором ООЭ"</formula>
    </cfRule>
  </conditionalFormatting>
  <conditionalFormatting sqref="D3">
    <cfRule type="cellIs" dxfId="76" priority="12" operator="equal">
      <formula>"заполняется куратором ООЭ"</formula>
    </cfRule>
  </conditionalFormatting>
  <conditionalFormatting sqref="D4">
    <cfRule type="cellIs" dxfId="75" priority="11" operator="equal">
      <formula>"заполняется куратором ООЭ"</formula>
    </cfRule>
  </conditionalFormatting>
  <conditionalFormatting sqref="D5">
    <cfRule type="cellIs" dxfId="74" priority="10" operator="equal">
      <formula>"заполняется куратором ООЭ"</formula>
    </cfRule>
  </conditionalFormatting>
  <conditionalFormatting sqref="D6">
    <cfRule type="cellIs" dxfId="73" priority="9" operator="equal">
      <formula>"заполняется куратором ООЭ"</formula>
    </cfRule>
  </conditionalFormatting>
  <conditionalFormatting sqref="D7">
    <cfRule type="cellIs" dxfId="72" priority="8" operator="equal">
      <formula>"заполняется куратором ООЭ"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id="{13BB46FE-CD17-4A0D-9A77-A258497B2777}">
            <xm:f>Р2!X7&gt;0</xm:f>
            <x14:dxf>
              <fill>
                <patternFill>
                  <bgColor theme="9" tint="0.59996337778862885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expression" priority="32" id="{81284936-4DD2-4A32-897F-0F50A36B7303}">
            <xm:f>Р1!X7&gt;0</xm:f>
            <x14:dxf>
              <fill>
                <patternFill>
                  <bgColor theme="9" tint="0.59996337778862885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expression" priority="31" id="{1359A62A-9B9F-4FD0-9042-E2C12298ECEC}">
            <xm:f>Р3!X7&gt;0</xm:f>
            <x14:dxf>
              <fill>
                <patternFill>
                  <bgColor theme="9" tint="0.59996337778862885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expression" priority="24" id="{30CF0877-F978-4AF5-B5B0-6D59144837A9}">
            <xm:f>OR(Р1_УГТ_ЛП!$E62&gt;0,Р1_УГТ_МИ!$E61&gt;0,Р1_УГТ_КР!$E40&gt;0,Р1_УГТ_Иное!$E15&gt;0)</xm:f>
            <x14:dxf>
              <fill>
                <patternFill>
                  <bgColor theme="9" tint="0.59996337778862885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expression" priority="23" id="{6FCA84CE-1C74-448F-A124-9294CBE8DDD5}">
            <xm:f>OR(Р2_УГТ_ЛП!$E62&gt;0,Р2_УГТ_МИ!$E61&gt;0,Р2_УГТ_КР!$E40&gt;0,Р2_УГТ_Иное!$E15&gt;0)</xm:f>
            <x14:dxf>
              <fill>
                <patternFill>
                  <bgColor theme="9" tint="0.59996337778862885"/>
                </patternFill>
              </fill>
            </x14:dxf>
          </x14:cfRule>
          <xm:sqref>E11</xm:sqref>
        </x14:conditionalFormatting>
        <x14:conditionalFormatting xmlns:xm="http://schemas.microsoft.com/office/excel/2006/main">
          <x14:cfRule type="expression" priority="22" id="{009BA551-819B-4286-BAE3-573F2892E6A5}">
            <xm:f>OR(Р3_УГТ_ЛП!$E62&gt;0,Р3_УГТ_МИ!$E61&gt;0,Р3_УГТ_КР!$E40&gt;0,Р3_УГТ_Иное!$E15&gt;0)</xm:f>
            <x14:dxf>
              <fill>
                <patternFill>
                  <bgColor theme="9" tint="0.59996337778862885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expression" priority="21" id="{FF7D1DF2-EA79-483D-9BF3-D443EBD91711}">
            <xm:f>OR(Р1_ДОК_ЛП!$E$59&gt;0,Р1_ДОК_МИ!$E$44&gt;0,Р1_ДОК_КР!$E$33&gt;0,Р1_ДОК_Иное!$E$15&gt;0)</xm:f>
            <x14:dxf>
              <fill>
                <patternFill>
                  <bgColor theme="9" tint="0.59996337778862885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expression" priority="20" id="{CA570ECE-8FFB-48E5-AAB0-300730D388C0}">
            <xm:f>OR(Р2_ДОК_ЛП!$E$59&gt;0,Р2_ДОК_МИ!$E$44&gt;0,Р2_ДОК_КР!$E$33&gt;0,Р2_ДОК_Иное!$E$15&gt;0)</xm:f>
            <x14:dxf>
              <fill>
                <patternFill>
                  <bgColor theme="9" tint="0.59996337778862885"/>
                </patternFill>
              </fill>
            </x14:dxf>
          </x14:cfRule>
          <xm:sqref>F11</xm:sqref>
        </x14:conditionalFormatting>
        <x14:conditionalFormatting xmlns:xm="http://schemas.microsoft.com/office/excel/2006/main">
          <x14:cfRule type="expression" priority="19" id="{0FB5AD95-0728-4B24-8605-2F731E8796E5}">
            <xm:f>OR(Р3_ДОК_ЛП!$E$59&gt;0,Р3_ДОК_МИ!$E$44&gt;0,Р3_ДОК_КР!$E$33&gt;0,Р3_ДОК_Иное!$E$15&gt;0)</xm:f>
            <x14:dxf>
              <fill>
                <patternFill>
                  <bgColor theme="9" tint="0.59996337778862885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expression" priority="18" id="{1C551952-2632-4CE6-AB9A-847921C011BC}">
            <xm:f>Р1_КТ!$E$11&gt;0</xm:f>
            <x14:dxf>
              <fill>
                <patternFill>
                  <bgColor theme="9" tint="0.59996337778862885"/>
                </patternFill>
              </fill>
            </x14:dxf>
          </x14:cfRule>
          <xm:sqref>G10</xm:sqref>
        </x14:conditionalFormatting>
        <x14:conditionalFormatting xmlns:xm="http://schemas.microsoft.com/office/excel/2006/main">
          <x14:cfRule type="expression" priority="17" id="{95FF54C9-FD03-4A4E-A259-D1DB5C4EB7B0}">
            <xm:f>Р2_КТ!$E$11&gt;0</xm:f>
            <x14:dxf>
              <fill>
                <patternFill>
                  <bgColor theme="9" tint="0.59996337778862885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expression" priority="16" id="{519CB926-CC1D-4CA0-8FE8-42CCDEF22FB9}">
            <xm:f>Р3_КТ!$E$11&gt;0</xm:f>
            <x14:dxf>
              <fill>
                <patternFill>
                  <bgColor theme="9" tint="0.59996337778862885"/>
                </patternFill>
              </fill>
            </x14:dxf>
          </x14:cfRule>
          <xm:sqref>G12</xm:sqref>
        </x14:conditionalFormatting>
        <x14:conditionalFormatting xmlns:xm="http://schemas.microsoft.com/office/excel/2006/main">
          <x14:cfRule type="expression" priority="15" id="{235CE85E-D8C0-44E7-BF8E-70B05BBE0F4C}">
            <xm:f>Р1_СТ!$E$11&gt;0</xm:f>
            <x14:dxf>
              <fill>
                <patternFill>
                  <bgColor theme="9" tint="0.59996337778862885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expression" priority="14" id="{CB3A9F57-BC7A-4E10-A529-297B7D28E2C5}">
            <xm:f>Р2_СТ!$E$11&gt;0</xm:f>
            <x14:dxf>
              <fill>
                <patternFill>
                  <bgColor theme="9" tint="0.59996337778862885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expression" priority="13" id="{04DA6E10-FF61-4E70-907E-05E5AA16F592}">
            <xm:f>Р3_СТ!$E$11&gt;0</xm:f>
            <x14:dxf>
              <fill>
                <patternFill>
                  <bgColor theme="9" tint="0.59996337778862885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expression" priority="6" id="{527C7DE6-E958-4857-BA9A-05159ED59962}">
            <xm:f>Р1_НИОКТР_1!$E$7&gt;0</xm:f>
            <x14:dxf>
              <fill>
                <patternFill>
                  <bgColor theme="9" tint="0.59996337778862885"/>
                </patternFill>
              </fill>
            </x14:dxf>
          </x14:cfRule>
          <xm:sqref>I10</xm:sqref>
        </x14:conditionalFormatting>
        <x14:conditionalFormatting xmlns:xm="http://schemas.microsoft.com/office/excel/2006/main">
          <x14:cfRule type="expression" priority="5" id="{75C3FC4E-1483-4C01-9D96-A147C70DBD3F}">
            <xm:f>Р2_НИОКТР_1!$E$7&gt;0</xm:f>
            <x14:dxf>
              <fill>
                <patternFill>
                  <bgColor theme="9" tint="0.59996337778862885"/>
                </patternFill>
              </fill>
            </x14:dxf>
          </x14:cfRule>
          <xm:sqref>I11</xm:sqref>
        </x14:conditionalFormatting>
        <x14:conditionalFormatting xmlns:xm="http://schemas.microsoft.com/office/excel/2006/main">
          <x14:cfRule type="expression" priority="4" id="{7FE7320E-ED25-4A04-9D70-0AA361B82DB1}">
            <xm:f>Р3_НИОКТР_1!$E$7&gt;0</xm:f>
            <x14:dxf>
              <fill>
                <patternFill>
                  <bgColor theme="9" tint="0.59996337778862885"/>
                </patternFill>
              </fill>
            </x14:dxf>
          </x14:cfRule>
          <xm:sqref>I12</xm:sqref>
        </x14:conditionalFormatting>
        <x14:conditionalFormatting xmlns:xm="http://schemas.microsoft.com/office/excel/2006/main">
          <x14:cfRule type="expression" priority="3" id="{11A3480F-D98E-49CB-9B27-542C9E9E333B}">
            <xm:f>Р1_НИОКТР_2!$E$14&gt;0</xm:f>
            <x14:dxf>
              <fill>
                <patternFill>
                  <bgColor theme="9" tint="0.59996337778862885"/>
                </patternFill>
              </fill>
            </x14:dxf>
          </x14:cfRule>
          <xm:sqref>J10</xm:sqref>
        </x14:conditionalFormatting>
        <x14:conditionalFormatting xmlns:xm="http://schemas.microsoft.com/office/excel/2006/main">
          <x14:cfRule type="expression" priority="2" id="{5710E872-50BB-406C-A25E-A2F8A12C408B}">
            <xm:f>Р2_НИОКТР_2!$E$14&gt;0</xm:f>
            <x14:dxf>
              <fill>
                <patternFill>
                  <bgColor theme="9" tint="0.59996337778862885"/>
                </patternFill>
              </fill>
            </x14:dxf>
          </x14:cfRule>
          <xm:sqref>J11</xm:sqref>
        </x14:conditionalFormatting>
        <x14:conditionalFormatting xmlns:xm="http://schemas.microsoft.com/office/excel/2006/main">
          <x14:cfRule type="expression" priority="1" id="{840DB8FA-CFC8-46DF-ABAE-2EFD96F6E8DD}">
            <xm:f>Р3_НИОКТР_2!$E$14&gt;0</xm:f>
            <x14:dxf>
              <fill>
                <patternFill>
                  <bgColor theme="9" tint="0.59996337778862885"/>
                </patternFill>
              </fill>
            </x14:dxf>
          </x14:cfRule>
          <xm:sqref>J12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IF($C10=$AL$10,Соотв!$B$2,Соотв!$B$3:$B$5)</xm:f>
          </x14:formula1>
          <xm:sqref>K10:K12</xm:sqref>
        </x14:dataValidation>
        <x14:dataValidation type="list" allowBlank="1">
          <x14:formula1>
            <xm:f>ВР!$D$2:$R$2</xm:f>
          </x14:formula1>
          <xm:sqref>B10:B12</xm:sqref>
        </x14:dataValidation>
        <x14:dataValidation type="list" allowBlank="1" showInputMessage="1" showErrorMessage="1">
          <x14:formula1>
            <xm:f>OFFSET(ВР!$D$2,1,MATCH(B10,ВР!$D$2:$R$2,0)-1,COUNTA(OFFSET(ВР!$D$2,1,MATCH(B10,ВР!$D$2:$R$2,0)-1,5,1)),1)</xm:f>
          </x14:formula1>
          <xm:sqref>C10:C12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/>
  <dimension ref="A1:AA50"/>
  <sheetViews>
    <sheetView showGridLines="0" workbookViewId="0">
      <pane xSplit="2" ySplit="6" topLeftCell="C25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109375" defaultRowHeight="13.8"/>
  <cols>
    <col min="1" max="1" width="5.44140625" style="2" customWidth="1"/>
    <col min="2" max="2" width="73.6640625" style="2" customWidth="1"/>
    <col min="3" max="3" width="46.109375" style="2" customWidth="1"/>
    <col min="4" max="4" width="37.6640625" style="2" customWidth="1"/>
    <col min="5" max="22" width="9.109375" style="2"/>
    <col min="23" max="23" width="0" style="2" hidden="1" customWidth="1"/>
    <col min="24" max="24" width="9.109375" style="2" hidden="1" customWidth="1"/>
    <col min="25" max="25" width="0" style="2" hidden="1" customWidth="1"/>
    <col min="26" max="27" width="9.109375" style="2" hidden="1" customWidth="1"/>
    <col min="28" max="16384" width="9.109375" style="2"/>
  </cols>
  <sheetData>
    <row r="1" spans="1:27" ht="39.9" customHeight="1">
      <c r="A1" s="70" t="s">
        <v>54</v>
      </c>
      <c r="B1" s="70"/>
      <c r="C1" s="26"/>
      <c r="D1" s="26"/>
    </row>
    <row r="2" spans="1:27" ht="39" customHeight="1">
      <c r="A2" s="71" t="s">
        <v>49</v>
      </c>
      <c r="B2" s="71"/>
      <c r="C2" s="71"/>
      <c r="D2" s="71"/>
      <c r="E2" s="20"/>
      <c r="F2" s="20"/>
    </row>
    <row r="3" spans="1:27" s="5" customFormat="1" ht="21" customHeight="1">
      <c r="A3" s="72" t="s">
        <v>171</v>
      </c>
      <c r="B3" s="72"/>
      <c r="C3" s="25" t="str">
        <f>Форма!B10</f>
        <v>Метод профилактики</v>
      </c>
      <c r="D3" s="27"/>
      <c r="E3" s="11"/>
      <c r="F3" s="11"/>
      <c r="G3" s="11"/>
      <c r="H3" s="11"/>
      <c r="I3" s="11"/>
      <c r="J3" s="11"/>
      <c r="K3" s="11"/>
      <c r="L3" s="11"/>
    </row>
    <row r="4" spans="1:27" ht="18">
      <c r="A4" s="72" t="s">
        <v>48</v>
      </c>
      <c r="B4" s="72"/>
      <c r="C4" s="25" t="str">
        <f>Форма!C10</f>
        <v>Клинические рекомендации</v>
      </c>
      <c r="D4" s="26"/>
    </row>
    <row r="5" spans="1:27" ht="34.5" customHeight="1">
      <c r="A5" s="68" t="s">
        <v>0</v>
      </c>
      <c r="B5" s="68" t="s">
        <v>19</v>
      </c>
      <c r="C5" s="66" t="s">
        <v>17</v>
      </c>
      <c r="D5" s="67"/>
    </row>
    <row r="6" spans="1:27" ht="30" customHeight="1">
      <c r="A6" s="69"/>
      <c r="B6" s="69"/>
      <c r="C6" s="22" t="s">
        <v>8</v>
      </c>
      <c r="D6" s="23" t="s">
        <v>9</v>
      </c>
    </row>
    <row r="7" spans="1:27" ht="80.25" customHeight="1">
      <c r="A7" s="19">
        <v>1</v>
      </c>
      <c r="B7" s="19" t="s">
        <v>128</v>
      </c>
      <c r="C7" s="44"/>
      <c r="D7" s="44"/>
      <c r="X7" s="2">
        <f>SUM(C50:D50)</f>
        <v>2</v>
      </c>
      <c r="Z7" s="2">
        <f>COUNTA(C7:C49)</f>
        <v>1</v>
      </c>
      <c r="AA7" s="2">
        <f>COUNTA(D7:D49)</f>
        <v>1</v>
      </c>
    </row>
    <row r="8" spans="1:27" ht="80.25" customHeight="1">
      <c r="A8" s="19">
        <v>2</v>
      </c>
      <c r="B8" s="19" t="s">
        <v>129</v>
      </c>
      <c r="C8" s="44"/>
      <c r="D8" s="44"/>
    </row>
    <row r="9" spans="1:27" ht="80.25" customHeight="1">
      <c r="A9" s="19">
        <v>3</v>
      </c>
      <c r="B9" s="19" t="s">
        <v>130</v>
      </c>
      <c r="C9" s="44"/>
      <c r="D9" s="44"/>
    </row>
    <row r="10" spans="1:27" ht="80.25" customHeight="1">
      <c r="A10" s="19">
        <v>4</v>
      </c>
      <c r="B10" s="19" t="s">
        <v>131</v>
      </c>
      <c r="C10" s="44"/>
      <c r="D10" s="44"/>
    </row>
    <row r="11" spans="1:27" ht="80.25" customHeight="1">
      <c r="A11" s="19">
        <v>5</v>
      </c>
      <c r="B11" s="19" t="s">
        <v>132</v>
      </c>
      <c r="C11" s="44"/>
      <c r="D11" s="44"/>
    </row>
    <row r="12" spans="1:27" ht="80.25" customHeight="1">
      <c r="A12" s="19">
        <v>6</v>
      </c>
      <c r="B12" s="19" t="s">
        <v>133</v>
      </c>
      <c r="C12" s="44"/>
      <c r="D12" s="44"/>
    </row>
    <row r="13" spans="1:27" ht="80.25" customHeight="1">
      <c r="A13" s="19">
        <v>7</v>
      </c>
      <c r="B13" s="19" t="s">
        <v>134</v>
      </c>
      <c r="C13" s="44"/>
      <c r="D13" s="44"/>
    </row>
    <row r="14" spans="1:27" ht="80.25" customHeight="1">
      <c r="A14" s="19">
        <v>8</v>
      </c>
      <c r="B14" s="19" t="s">
        <v>135</v>
      </c>
      <c r="C14" s="44"/>
      <c r="D14" s="44"/>
    </row>
    <row r="15" spans="1:27" ht="80.25" customHeight="1">
      <c r="A15" s="19">
        <v>9</v>
      </c>
      <c r="B15" s="19" t="s">
        <v>136</v>
      </c>
      <c r="C15" s="44"/>
      <c r="D15" s="44"/>
    </row>
    <row r="16" spans="1:27" ht="80.25" customHeight="1">
      <c r="A16" s="19">
        <v>10</v>
      </c>
      <c r="B16" s="19" t="s">
        <v>137</v>
      </c>
      <c r="C16" s="44"/>
      <c r="D16" s="44"/>
    </row>
    <row r="17" spans="1:4" ht="80.25" customHeight="1">
      <c r="A17" s="19">
        <v>11</v>
      </c>
      <c r="B17" s="19" t="s">
        <v>138</v>
      </c>
      <c r="C17" s="44"/>
      <c r="D17" s="44"/>
    </row>
    <row r="18" spans="1:4" ht="80.25" customHeight="1">
      <c r="A18" s="19">
        <v>12</v>
      </c>
      <c r="B18" s="19" t="s">
        <v>139</v>
      </c>
      <c r="C18" s="44"/>
      <c r="D18" s="44"/>
    </row>
    <row r="19" spans="1:4" ht="80.25" customHeight="1">
      <c r="A19" s="19">
        <v>13</v>
      </c>
      <c r="B19" s="19" t="s">
        <v>140</v>
      </c>
      <c r="C19" s="44"/>
      <c r="D19" s="44"/>
    </row>
    <row r="20" spans="1:4" ht="80.25" customHeight="1">
      <c r="A20" s="19">
        <v>14</v>
      </c>
      <c r="B20" s="19" t="s">
        <v>141</v>
      </c>
      <c r="C20" s="44"/>
      <c r="D20" s="44"/>
    </row>
    <row r="21" spans="1:4" ht="80.25" customHeight="1">
      <c r="A21" s="19">
        <v>15</v>
      </c>
      <c r="B21" s="19" t="s">
        <v>142</v>
      </c>
      <c r="C21" s="44"/>
      <c r="D21" s="44"/>
    </row>
    <row r="22" spans="1:4" ht="80.25" customHeight="1">
      <c r="A22" s="19">
        <v>16</v>
      </c>
      <c r="B22" s="19" t="s">
        <v>143</v>
      </c>
      <c r="C22" s="44"/>
      <c r="D22" s="44"/>
    </row>
    <row r="23" spans="1:4" ht="80.25" customHeight="1">
      <c r="A23" s="19">
        <v>17</v>
      </c>
      <c r="B23" s="19" t="s">
        <v>144</v>
      </c>
      <c r="C23" s="44"/>
      <c r="D23" s="44"/>
    </row>
    <row r="24" spans="1:4" ht="80.25" customHeight="1">
      <c r="A24" s="19">
        <v>18</v>
      </c>
      <c r="B24" s="19" t="s">
        <v>145</v>
      </c>
      <c r="C24" s="44"/>
      <c r="D24" s="44"/>
    </row>
    <row r="25" spans="1:4" ht="80.25" customHeight="1">
      <c r="A25" s="19">
        <v>19</v>
      </c>
      <c r="B25" s="19" t="s">
        <v>146</v>
      </c>
      <c r="C25" s="44" t="s">
        <v>430</v>
      </c>
      <c r="D25" s="44" t="s">
        <v>431</v>
      </c>
    </row>
    <row r="26" spans="1:4" ht="80.25" customHeight="1">
      <c r="A26" s="19">
        <v>20</v>
      </c>
      <c r="B26" s="19" t="s">
        <v>147</v>
      </c>
      <c r="C26" s="44"/>
      <c r="D26" s="44"/>
    </row>
    <row r="27" spans="1:4" ht="80.25" customHeight="1">
      <c r="A27" s="19">
        <v>21</v>
      </c>
      <c r="B27" s="19" t="s">
        <v>148</v>
      </c>
      <c r="C27" s="44"/>
      <c r="D27" s="44"/>
    </row>
    <row r="28" spans="1:4" ht="80.25" customHeight="1">
      <c r="A28" s="19">
        <v>22</v>
      </c>
      <c r="B28" s="19" t="s">
        <v>149</v>
      </c>
      <c r="C28" s="44"/>
      <c r="D28" s="44"/>
    </row>
    <row r="29" spans="1:4" ht="80.25" customHeight="1">
      <c r="A29" s="19">
        <v>23</v>
      </c>
      <c r="B29" s="19" t="s">
        <v>150</v>
      </c>
      <c r="C29" s="44"/>
      <c r="D29" s="44"/>
    </row>
    <row r="30" spans="1:4" ht="80.25" customHeight="1">
      <c r="A30" s="19">
        <v>24</v>
      </c>
      <c r="B30" s="19" t="s">
        <v>151</v>
      </c>
      <c r="C30" s="44"/>
      <c r="D30" s="44"/>
    </row>
    <row r="31" spans="1:4" ht="80.25" customHeight="1">
      <c r="A31" s="19">
        <v>25</v>
      </c>
      <c r="B31" s="19" t="s">
        <v>152</v>
      </c>
      <c r="C31" s="44"/>
      <c r="D31" s="44"/>
    </row>
    <row r="32" spans="1:4" ht="80.25" customHeight="1">
      <c r="A32" s="19">
        <v>26</v>
      </c>
      <c r="B32" s="19" t="s">
        <v>153</v>
      </c>
      <c r="C32" s="44"/>
      <c r="D32" s="44"/>
    </row>
    <row r="33" spans="1:4" ht="80.25" customHeight="1">
      <c r="A33" s="19">
        <v>27</v>
      </c>
      <c r="B33" s="19" t="s">
        <v>154</v>
      </c>
      <c r="C33" s="44"/>
      <c r="D33" s="44"/>
    </row>
    <row r="34" spans="1:4" ht="80.25" customHeight="1">
      <c r="A34" s="19">
        <v>28</v>
      </c>
      <c r="B34" s="19" t="s">
        <v>155</v>
      </c>
      <c r="C34" s="44"/>
      <c r="D34" s="44"/>
    </row>
    <row r="35" spans="1:4" ht="80.25" customHeight="1">
      <c r="A35" s="19">
        <v>29</v>
      </c>
      <c r="B35" s="19" t="s">
        <v>156</v>
      </c>
      <c r="C35" s="44"/>
      <c r="D35" s="44"/>
    </row>
    <row r="36" spans="1:4" ht="80.25" customHeight="1">
      <c r="A36" s="19">
        <v>30</v>
      </c>
      <c r="B36" s="19" t="s">
        <v>157</v>
      </c>
      <c r="C36" s="44"/>
      <c r="D36" s="44"/>
    </row>
    <row r="37" spans="1:4" ht="80.25" customHeight="1">
      <c r="A37" s="19">
        <v>31</v>
      </c>
      <c r="B37" s="19" t="s">
        <v>158</v>
      </c>
      <c r="C37" s="44"/>
      <c r="D37" s="44"/>
    </row>
    <row r="38" spans="1:4" ht="80.25" customHeight="1">
      <c r="A38" s="19">
        <v>32</v>
      </c>
      <c r="B38" s="19" t="s">
        <v>159</v>
      </c>
      <c r="C38" s="44"/>
      <c r="D38" s="44"/>
    </row>
    <row r="39" spans="1:4" ht="80.25" customHeight="1">
      <c r="A39" s="19">
        <v>33</v>
      </c>
      <c r="B39" s="19" t="s">
        <v>160</v>
      </c>
      <c r="C39" s="44"/>
      <c r="D39" s="44"/>
    </row>
    <row r="40" spans="1:4" ht="80.25" customHeight="1">
      <c r="A40" s="19">
        <v>34</v>
      </c>
      <c r="B40" s="19" t="s">
        <v>161</v>
      </c>
      <c r="C40" s="44"/>
      <c r="D40" s="44"/>
    </row>
    <row r="41" spans="1:4" ht="80.25" customHeight="1">
      <c r="A41" s="19">
        <v>35</v>
      </c>
      <c r="B41" s="19" t="s">
        <v>162</v>
      </c>
      <c r="C41" s="44"/>
      <c r="D41" s="44"/>
    </row>
    <row r="42" spans="1:4" ht="80.25" customHeight="1">
      <c r="A42" s="19">
        <v>36</v>
      </c>
      <c r="B42" s="19" t="s">
        <v>163</v>
      </c>
      <c r="C42" s="44"/>
      <c r="D42" s="44"/>
    </row>
    <row r="43" spans="1:4" ht="80.25" customHeight="1">
      <c r="A43" s="19">
        <v>37</v>
      </c>
      <c r="B43" s="19" t="s">
        <v>164</v>
      </c>
      <c r="C43" s="44"/>
      <c r="D43" s="44"/>
    </row>
    <row r="44" spans="1:4" ht="80.25" customHeight="1">
      <c r="A44" s="19">
        <v>38</v>
      </c>
      <c r="B44" s="19" t="s">
        <v>165</v>
      </c>
      <c r="C44" s="44"/>
      <c r="D44" s="44"/>
    </row>
    <row r="45" spans="1:4" ht="80.25" customHeight="1">
      <c r="A45" s="19">
        <v>39</v>
      </c>
      <c r="B45" s="19" t="s">
        <v>166</v>
      </c>
      <c r="C45" s="44"/>
      <c r="D45" s="44"/>
    </row>
    <row r="46" spans="1:4" ht="80.25" customHeight="1">
      <c r="A46" s="19">
        <v>40</v>
      </c>
      <c r="B46" s="19" t="s">
        <v>167</v>
      </c>
      <c r="C46" s="44"/>
      <c r="D46" s="44"/>
    </row>
    <row r="47" spans="1:4" ht="80.25" customHeight="1">
      <c r="A47" s="19">
        <v>41</v>
      </c>
      <c r="B47" s="19" t="s">
        <v>168</v>
      </c>
      <c r="C47" s="44"/>
      <c r="D47" s="44"/>
    </row>
    <row r="48" spans="1:4" ht="80.25" customHeight="1">
      <c r="A48" s="19">
        <v>42</v>
      </c>
      <c r="B48" s="19" t="s">
        <v>169</v>
      </c>
      <c r="C48" s="44"/>
      <c r="D48" s="44"/>
    </row>
    <row r="49" spans="1:4" ht="80.25" customHeight="1">
      <c r="A49" s="19">
        <v>43</v>
      </c>
      <c r="B49" s="19" t="s">
        <v>170</v>
      </c>
      <c r="C49" s="44"/>
      <c r="D49" s="44"/>
    </row>
    <row r="50" spans="1:4" hidden="1">
      <c r="C50" s="2">
        <f>COUNTA(C7:C49)</f>
        <v>1</v>
      </c>
      <c r="D50" s="2">
        <f>COUNTA(D7:D49)</f>
        <v>1</v>
      </c>
    </row>
  </sheetData>
  <sheetProtection sheet="1" selectLockedCells="1"/>
  <mergeCells count="7">
    <mergeCell ref="C5:D5"/>
    <mergeCell ref="B5:B6"/>
    <mergeCell ref="A1:B1"/>
    <mergeCell ref="A5:A6"/>
    <mergeCell ref="A2:D2"/>
    <mergeCell ref="A3:B3"/>
    <mergeCell ref="A4:B4"/>
  </mergeCells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IF($Z$7=3,'Клинический эффект'!$B$3,'Клинический эффект'!$B$4:$B$9)</xm:f>
          </x14:formula1>
          <xm:sqref>C7:C49</xm:sqref>
        </x14:dataValidation>
        <x14:dataValidation type="list" allowBlank="1" showInputMessage="1" showErrorMessage="1">
          <x14:formula1>
            <xm:f>IF(OR($AA$7=3,LEN($C7)=0),'Возможность импортозамещения'!$B$3,'Возможность импортозамещения'!$B$4:$B$5)</xm:f>
          </x14:formula1>
          <xm:sqref>D7:D49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4"/>
  <dimension ref="A1:AA50"/>
  <sheetViews>
    <sheetView showGridLines="0" workbookViewId="0">
      <pane xSplit="2" ySplit="6" topLeftCell="C25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109375" defaultRowHeight="13.8"/>
  <cols>
    <col min="1" max="1" width="6.44140625" style="2" customWidth="1"/>
    <col min="2" max="2" width="73.6640625" style="2" customWidth="1"/>
    <col min="3" max="3" width="46.109375" style="2" customWidth="1"/>
    <col min="4" max="4" width="37.6640625" style="2" customWidth="1"/>
    <col min="5" max="5" width="15.33203125" style="2" customWidth="1"/>
    <col min="6" max="23" width="9.109375" style="2"/>
    <col min="24" max="24" width="0" style="2" hidden="1" customWidth="1"/>
    <col min="25" max="25" width="9.109375" style="2"/>
    <col min="26" max="27" width="9.109375" style="2" hidden="1" customWidth="1"/>
    <col min="28" max="16384" width="9.109375" style="2"/>
  </cols>
  <sheetData>
    <row r="1" spans="1:27" ht="39.9" customHeight="1">
      <c r="A1" s="70" t="s">
        <v>54</v>
      </c>
      <c r="B1" s="70"/>
      <c r="C1" s="26"/>
      <c r="D1" s="26"/>
      <c r="E1" s="30"/>
    </row>
    <row r="2" spans="1:27" ht="39" customHeight="1">
      <c r="A2" s="71" t="s">
        <v>49</v>
      </c>
      <c r="B2" s="71"/>
      <c r="C2" s="71"/>
      <c r="D2" s="71"/>
      <c r="E2" s="31"/>
      <c r="F2" s="20"/>
      <c r="G2" s="20"/>
    </row>
    <row r="3" spans="1:27" s="5" customFormat="1" ht="21" customHeight="1">
      <c r="A3" s="72" t="s">
        <v>171</v>
      </c>
      <c r="B3" s="72"/>
      <c r="C3" s="25" t="str">
        <f>Форма!B11</f>
        <v>Метод диагностики</v>
      </c>
      <c r="D3" s="27"/>
      <c r="E3" s="32"/>
      <c r="F3" s="11"/>
      <c r="G3" s="11"/>
      <c r="H3" s="11"/>
      <c r="I3" s="11"/>
      <c r="J3" s="11"/>
      <c r="K3" s="11"/>
      <c r="L3" s="11"/>
      <c r="M3" s="11"/>
    </row>
    <row r="4" spans="1:27" ht="18">
      <c r="A4" s="72" t="s">
        <v>48</v>
      </c>
      <c r="B4" s="72"/>
      <c r="C4" s="25" t="str">
        <f>Форма!C11</f>
        <v>Клинические рекомендации</v>
      </c>
      <c r="D4" s="26"/>
      <c r="E4" s="30"/>
    </row>
    <row r="5" spans="1:27" ht="34.5" customHeight="1">
      <c r="A5" s="73" t="s">
        <v>0</v>
      </c>
      <c r="B5" s="73" t="s">
        <v>19</v>
      </c>
      <c r="C5" s="73" t="s">
        <v>17</v>
      </c>
      <c r="D5" s="73"/>
      <c r="E5" s="33"/>
    </row>
    <row r="6" spans="1:27" ht="30" customHeight="1">
      <c r="A6" s="68"/>
      <c r="B6" s="68"/>
      <c r="C6" s="34" t="s">
        <v>8</v>
      </c>
      <c r="D6" s="35" t="s">
        <v>9</v>
      </c>
      <c r="E6" s="33"/>
    </row>
    <row r="7" spans="1:27" ht="76.5" customHeight="1">
      <c r="A7" s="19">
        <v>1</v>
      </c>
      <c r="B7" s="19" t="s">
        <v>128</v>
      </c>
      <c r="C7" s="44"/>
      <c r="D7" s="44"/>
      <c r="X7" s="2">
        <f>SUM(C50:D50)</f>
        <v>2</v>
      </c>
      <c r="Z7" s="2">
        <f>COUNTA(C7:C49)</f>
        <v>1</v>
      </c>
      <c r="AA7" s="2">
        <f>COUNTA(D7:D49)</f>
        <v>1</v>
      </c>
    </row>
    <row r="8" spans="1:27" ht="76.5" customHeight="1">
      <c r="A8" s="19">
        <v>2</v>
      </c>
      <c r="B8" s="19" t="s">
        <v>129</v>
      </c>
      <c r="C8" s="44"/>
      <c r="D8" s="44"/>
    </row>
    <row r="9" spans="1:27" ht="76.5" customHeight="1">
      <c r="A9" s="19">
        <v>3</v>
      </c>
      <c r="B9" s="19" t="s">
        <v>130</v>
      </c>
      <c r="C9" s="44"/>
      <c r="D9" s="44"/>
    </row>
    <row r="10" spans="1:27" ht="76.5" customHeight="1">
      <c r="A10" s="19">
        <v>4</v>
      </c>
      <c r="B10" s="19" t="s">
        <v>131</v>
      </c>
      <c r="C10" s="44"/>
      <c r="D10" s="44"/>
    </row>
    <row r="11" spans="1:27" ht="76.5" customHeight="1">
      <c r="A11" s="19">
        <v>5</v>
      </c>
      <c r="B11" s="19" t="s">
        <v>132</v>
      </c>
      <c r="C11" s="44"/>
      <c r="D11" s="44"/>
    </row>
    <row r="12" spans="1:27" ht="76.5" customHeight="1">
      <c r="A12" s="19">
        <v>6</v>
      </c>
      <c r="B12" s="19" t="s">
        <v>133</v>
      </c>
      <c r="C12" s="44"/>
      <c r="D12" s="44"/>
    </row>
    <row r="13" spans="1:27" ht="76.5" customHeight="1">
      <c r="A13" s="19">
        <v>7</v>
      </c>
      <c r="B13" s="19" t="s">
        <v>134</v>
      </c>
      <c r="C13" s="44"/>
      <c r="D13" s="44"/>
    </row>
    <row r="14" spans="1:27" ht="76.5" customHeight="1">
      <c r="A14" s="19">
        <v>8</v>
      </c>
      <c r="B14" s="19" t="s">
        <v>135</v>
      </c>
      <c r="C14" s="44"/>
      <c r="D14" s="44"/>
    </row>
    <row r="15" spans="1:27" ht="76.5" customHeight="1">
      <c r="A15" s="19">
        <v>9</v>
      </c>
      <c r="B15" s="19" t="s">
        <v>136</v>
      </c>
      <c r="C15" s="44"/>
      <c r="D15" s="44"/>
    </row>
    <row r="16" spans="1:27" ht="76.5" customHeight="1">
      <c r="A16" s="19">
        <v>10</v>
      </c>
      <c r="B16" s="19" t="s">
        <v>137</v>
      </c>
      <c r="C16" s="44"/>
      <c r="D16" s="44"/>
    </row>
    <row r="17" spans="1:4" ht="76.5" customHeight="1">
      <c r="A17" s="19">
        <v>11</v>
      </c>
      <c r="B17" s="19" t="s">
        <v>138</v>
      </c>
      <c r="C17" s="44"/>
      <c r="D17" s="44"/>
    </row>
    <row r="18" spans="1:4" ht="76.5" customHeight="1">
      <c r="A18" s="19">
        <v>12</v>
      </c>
      <c r="B18" s="19" t="s">
        <v>139</v>
      </c>
      <c r="C18" s="44"/>
      <c r="D18" s="44"/>
    </row>
    <row r="19" spans="1:4" ht="76.5" customHeight="1">
      <c r="A19" s="19">
        <v>13</v>
      </c>
      <c r="B19" s="19" t="s">
        <v>140</v>
      </c>
      <c r="C19" s="44"/>
      <c r="D19" s="44"/>
    </row>
    <row r="20" spans="1:4" ht="76.5" customHeight="1">
      <c r="A20" s="19">
        <v>14</v>
      </c>
      <c r="B20" s="19" t="s">
        <v>141</v>
      </c>
      <c r="C20" s="44"/>
      <c r="D20" s="44"/>
    </row>
    <row r="21" spans="1:4" ht="76.5" customHeight="1">
      <c r="A21" s="19">
        <v>15</v>
      </c>
      <c r="B21" s="19" t="s">
        <v>142</v>
      </c>
      <c r="C21" s="44"/>
      <c r="D21" s="44"/>
    </row>
    <row r="22" spans="1:4" ht="76.5" customHeight="1">
      <c r="A22" s="19">
        <v>16</v>
      </c>
      <c r="B22" s="19" t="s">
        <v>143</v>
      </c>
      <c r="C22" s="44"/>
      <c r="D22" s="44"/>
    </row>
    <row r="23" spans="1:4" ht="76.5" customHeight="1">
      <c r="A23" s="19">
        <v>17</v>
      </c>
      <c r="B23" s="19" t="s">
        <v>144</v>
      </c>
      <c r="C23" s="44"/>
      <c r="D23" s="44"/>
    </row>
    <row r="24" spans="1:4" ht="76.5" customHeight="1">
      <c r="A24" s="19">
        <v>18</v>
      </c>
      <c r="B24" s="19" t="s">
        <v>145</v>
      </c>
      <c r="C24" s="44"/>
      <c r="D24" s="44"/>
    </row>
    <row r="25" spans="1:4" ht="76.5" customHeight="1">
      <c r="A25" s="19">
        <v>19</v>
      </c>
      <c r="B25" s="19" t="s">
        <v>146</v>
      </c>
      <c r="C25" s="44" t="s">
        <v>432</v>
      </c>
      <c r="D25" s="44" t="s">
        <v>431</v>
      </c>
    </row>
    <row r="26" spans="1:4" ht="76.5" customHeight="1">
      <c r="A26" s="19">
        <v>20</v>
      </c>
      <c r="B26" s="19" t="s">
        <v>147</v>
      </c>
      <c r="C26" s="44"/>
      <c r="D26" s="44"/>
    </row>
    <row r="27" spans="1:4" ht="76.5" customHeight="1">
      <c r="A27" s="19">
        <v>21</v>
      </c>
      <c r="B27" s="19" t="s">
        <v>148</v>
      </c>
      <c r="C27" s="44"/>
      <c r="D27" s="44"/>
    </row>
    <row r="28" spans="1:4" ht="76.5" customHeight="1">
      <c r="A28" s="19">
        <v>22</v>
      </c>
      <c r="B28" s="19" t="s">
        <v>149</v>
      </c>
      <c r="C28" s="44"/>
      <c r="D28" s="44"/>
    </row>
    <row r="29" spans="1:4" ht="76.5" customHeight="1">
      <c r="A29" s="19">
        <v>23</v>
      </c>
      <c r="B29" s="19" t="s">
        <v>150</v>
      </c>
      <c r="C29" s="44"/>
      <c r="D29" s="44"/>
    </row>
    <row r="30" spans="1:4" ht="76.5" customHeight="1">
      <c r="A30" s="19">
        <v>24</v>
      </c>
      <c r="B30" s="19" t="s">
        <v>151</v>
      </c>
      <c r="C30" s="44"/>
      <c r="D30" s="44"/>
    </row>
    <row r="31" spans="1:4" ht="76.5" customHeight="1">
      <c r="A31" s="19">
        <v>25</v>
      </c>
      <c r="B31" s="19" t="s">
        <v>152</v>
      </c>
      <c r="C31" s="44"/>
      <c r="D31" s="44"/>
    </row>
    <row r="32" spans="1:4" ht="76.5" customHeight="1">
      <c r="A32" s="19">
        <v>26</v>
      </c>
      <c r="B32" s="19" t="s">
        <v>153</v>
      </c>
      <c r="C32" s="44"/>
      <c r="D32" s="44"/>
    </row>
    <row r="33" spans="1:4" ht="76.5" customHeight="1">
      <c r="A33" s="19">
        <v>27</v>
      </c>
      <c r="B33" s="19" t="s">
        <v>154</v>
      </c>
      <c r="C33" s="44"/>
      <c r="D33" s="44"/>
    </row>
    <row r="34" spans="1:4" ht="76.5" customHeight="1">
      <c r="A34" s="19">
        <v>28</v>
      </c>
      <c r="B34" s="19" t="s">
        <v>155</v>
      </c>
      <c r="C34" s="44"/>
      <c r="D34" s="44"/>
    </row>
    <row r="35" spans="1:4" ht="76.5" customHeight="1">
      <c r="A35" s="19">
        <v>29</v>
      </c>
      <c r="B35" s="19" t="s">
        <v>156</v>
      </c>
      <c r="C35" s="44"/>
      <c r="D35" s="44"/>
    </row>
    <row r="36" spans="1:4" ht="76.5" customHeight="1">
      <c r="A36" s="19">
        <v>30</v>
      </c>
      <c r="B36" s="19" t="s">
        <v>157</v>
      </c>
      <c r="C36" s="44"/>
      <c r="D36" s="44"/>
    </row>
    <row r="37" spans="1:4" ht="76.5" customHeight="1">
      <c r="A37" s="19">
        <v>31</v>
      </c>
      <c r="B37" s="19" t="s">
        <v>158</v>
      </c>
      <c r="C37" s="44"/>
      <c r="D37" s="44"/>
    </row>
    <row r="38" spans="1:4" ht="76.5" customHeight="1">
      <c r="A38" s="19">
        <v>32</v>
      </c>
      <c r="B38" s="19" t="s">
        <v>159</v>
      </c>
      <c r="C38" s="44"/>
      <c r="D38" s="44"/>
    </row>
    <row r="39" spans="1:4" ht="76.5" customHeight="1">
      <c r="A39" s="19">
        <v>33</v>
      </c>
      <c r="B39" s="19" t="s">
        <v>160</v>
      </c>
      <c r="C39" s="44"/>
      <c r="D39" s="44"/>
    </row>
    <row r="40" spans="1:4" ht="76.5" customHeight="1">
      <c r="A40" s="19">
        <v>34</v>
      </c>
      <c r="B40" s="19" t="s">
        <v>161</v>
      </c>
      <c r="C40" s="44"/>
      <c r="D40" s="44"/>
    </row>
    <row r="41" spans="1:4" ht="76.5" customHeight="1">
      <c r="A41" s="19">
        <v>35</v>
      </c>
      <c r="B41" s="19" t="s">
        <v>162</v>
      </c>
      <c r="C41" s="44"/>
      <c r="D41" s="44"/>
    </row>
    <row r="42" spans="1:4" ht="76.5" customHeight="1">
      <c r="A42" s="19">
        <v>36</v>
      </c>
      <c r="B42" s="19" t="s">
        <v>163</v>
      </c>
      <c r="C42" s="44"/>
      <c r="D42" s="44"/>
    </row>
    <row r="43" spans="1:4" ht="76.5" customHeight="1">
      <c r="A43" s="19">
        <v>37</v>
      </c>
      <c r="B43" s="19" t="s">
        <v>164</v>
      </c>
      <c r="C43" s="44"/>
      <c r="D43" s="44"/>
    </row>
    <row r="44" spans="1:4" ht="76.5" customHeight="1">
      <c r="A44" s="19">
        <v>38</v>
      </c>
      <c r="B44" s="19" t="s">
        <v>165</v>
      </c>
      <c r="C44" s="44"/>
      <c r="D44" s="44"/>
    </row>
    <row r="45" spans="1:4" ht="76.5" customHeight="1">
      <c r="A45" s="19">
        <v>39</v>
      </c>
      <c r="B45" s="19" t="s">
        <v>166</v>
      </c>
      <c r="C45" s="44"/>
      <c r="D45" s="44"/>
    </row>
    <row r="46" spans="1:4" ht="76.5" customHeight="1">
      <c r="A46" s="19">
        <v>40</v>
      </c>
      <c r="B46" s="19" t="s">
        <v>167</v>
      </c>
      <c r="C46" s="44"/>
      <c r="D46" s="44"/>
    </row>
    <row r="47" spans="1:4" ht="76.5" customHeight="1">
      <c r="A47" s="19">
        <v>41</v>
      </c>
      <c r="B47" s="19" t="s">
        <v>168</v>
      </c>
      <c r="C47" s="44"/>
      <c r="D47" s="44"/>
    </row>
    <row r="48" spans="1:4" ht="76.5" customHeight="1">
      <c r="A48" s="19">
        <v>42</v>
      </c>
      <c r="B48" s="19" t="s">
        <v>169</v>
      </c>
      <c r="C48" s="44"/>
      <c r="D48" s="44"/>
    </row>
    <row r="49" spans="1:4" ht="76.5" customHeight="1">
      <c r="A49" s="19">
        <v>43</v>
      </c>
      <c r="B49" s="19" t="s">
        <v>170</v>
      </c>
      <c r="C49" s="44"/>
      <c r="D49" s="44"/>
    </row>
    <row r="50" spans="1:4" hidden="1">
      <c r="C50" s="2">
        <f>COUNTA(C7:C49)</f>
        <v>1</v>
      </c>
      <c r="D50" s="2">
        <f>COUNTA(D7:D49)</f>
        <v>1</v>
      </c>
    </row>
  </sheetData>
  <sheetProtection sheet="1" objects="1" scenarios="1" selectLockedCells="1"/>
  <mergeCells count="7">
    <mergeCell ref="A1:B1"/>
    <mergeCell ref="A3:B3"/>
    <mergeCell ref="A5:A6"/>
    <mergeCell ref="B5:B6"/>
    <mergeCell ref="C5:D5"/>
    <mergeCell ref="A4:B4"/>
    <mergeCell ref="A2:D2"/>
  </mergeCells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IF(OR($AA$7=3,LEN($C7)=0),'Возможность импортозамещения'!$B$3,'Возможность импортозамещения'!$B$4:$B$5)</xm:f>
          </x14:formula1>
          <xm:sqref>D7:D49</xm:sqref>
        </x14:dataValidation>
        <x14:dataValidation type="list" allowBlank="1" showInputMessage="1" showErrorMessage="1">
          <x14:formula1>
            <xm:f>IF($Z$7=3,'Клинический эффект'!$B$3,'Клинический эффект'!$B$4:$B$9)</xm:f>
          </x14:formula1>
          <xm:sqref>C7:C49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5"/>
  <dimension ref="A1:AA50"/>
  <sheetViews>
    <sheetView showGridLines="0" workbookViewId="0">
      <pane xSplit="2" ySplit="6" topLeftCell="C25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109375" defaultRowHeight="13.8"/>
  <cols>
    <col min="1" max="1" width="6.44140625" style="2" customWidth="1"/>
    <col min="2" max="2" width="73.6640625" style="2" customWidth="1"/>
    <col min="3" max="3" width="46.109375" style="2" customWidth="1"/>
    <col min="4" max="4" width="37.6640625" style="2" customWidth="1"/>
    <col min="5" max="5" width="15.33203125" style="2" customWidth="1"/>
    <col min="6" max="23" width="9.109375" style="2"/>
    <col min="24" max="24" width="0" style="2" hidden="1" customWidth="1"/>
    <col min="25" max="25" width="9.109375" style="2"/>
    <col min="26" max="27" width="0" style="2" hidden="1" customWidth="1"/>
    <col min="28" max="16384" width="9.109375" style="2"/>
  </cols>
  <sheetData>
    <row r="1" spans="1:27" ht="39.9" customHeight="1">
      <c r="A1" s="70" t="s">
        <v>54</v>
      </c>
      <c r="B1" s="70"/>
      <c r="C1" s="26"/>
      <c r="D1" s="26"/>
      <c r="E1" s="36"/>
    </row>
    <row r="2" spans="1:27" ht="39" customHeight="1">
      <c r="A2" s="71" t="s">
        <v>49</v>
      </c>
      <c r="B2" s="71"/>
      <c r="C2" s="71"/>
      <c r="D2" s="71"/>
      <c r="E2" s="37"/>
      <c r="F2" s="20"/>
      <c r="G2" s="20"/>
    </row>
    <row r="3" spans="1:27" s="5" customFormat="1" ht="21" customHeight="1">
      <c r="A3" s="72" t="s">
        <v>171</v>
      </c>
      <c r="B3" s="72"/>
      <c r="C3" s="25" t="str">
        <f>Форма!B12</f>
        <v>Прочее</v>
      </c>
      <c r="D3" s="27"/>
      <c r="E3" s="38"/>
      <c r="F3" s="11"/>
      <c r="G3" s="11"/>
      <c r="H3" s="11"/>
      <c r="I3" s="11"/>
      <c r="J3" s="11"/>
      <c r="K3" s="11"/>
      <c r="L3" s="11"/>
      <c r="M3" s="11"/>
    </row>
    <row r="4" spans="1:27" ht="18">
      <c r="A4" s="72" t="s">
        <v>48</v>
      </c>
      <c r="B4" s="72"/>
      <c r="C4" s="25" t="str">
        <f>Форма!C12</f>
        <v>Иное</v>
      </c>
      <c r="D4" s="26"/>
      <c r="E4" s="36"/>
    </row>
    <row r="5" spans="1:27" ht="34.5" customHeight="1">
      <c r="A5" s="73" t="s">
        <v>0</v>
      </c>
      <c r="B5" s="73" t="s">
        <v>19</v>
      </c>
      <c r="C5" s="73" t="s">
        <v>17</v>
      </c>
      <c r="D5" s="73"/>
      <c r="E5" s="39"/>
    </row>
    <row r="6" spans="1:27" ht="30" customHeight="1">
      <c r="A6" s="68"/>
      <c r="B6" s="68"/>
      <c r="C6" s="34" t="s">
        <v>8</v>
      </c>
      <c r="D6" s="35" t="s">
        <v>9</v>
      </c>
      <c r="E6" s="39"/>
    </row>
    <row r="7" spans="1:27" ht="78.75" customHeight="1">
      <c r="A7" s="19">
        <v>1</v>
      </c>
      <c r="B7" s="19" t="s">
        <v>128</v>
      </c>
      <c r="C7" s="44"/>
      <c r="D7" s="44"/>
      <c r="X7" s="2">
        <f>SUM(C50:D50)</f>
        <v>2</v>
      </c>
      <c r="Z7" s="2">
        <f>COUNTA(C7:C49)</f>
        <v>1</v>
      </c>
      <c r="AA7" s="2">
        <f>COUNTA(D7:D49)</f>
        <v>1</v>
      </c>
    </row>
    <row r="8" spans="1:27" ht="78.75" customHeight="1">
      <c r="A8" s="19">
        <v>2</v>
      </c>
      <c r="B8" s="19" t="s">
        <v>129</v>
      </c>
      <c r="C8" s="44"/>
      <c r="D8" s="44"/>
    </row>
    <row r="9" spans="1:27" ht="78.75" customHeight="1">
      <c r="A9" s="19">
        <v>3</v>
      </c>
      <c r="B9" s="19" t="s">
        <v>130</v>
      </c>
      <c r="C9" s="44"/>
      <c r="D9" s="44"/>
    </row>
    <row r="10" spans="1:27" ht="78.75" customHeight="1">
      <c r="A10" s="19">
        <v>4</v>
      </c>
      <c r="B10" s="19" t="s">
        <v>131</v>
      </c>
      <c r="C10" s="44"/>
      <c r="D10" s="44"/>
    </row>
    <row r="11" spans="1:27" ht="78.75" customHeight="1">
      <c r="A11" s="19">
        <v>5</v>
      </c>
      <c r="B11" s="19" t="s">
        <v>132</v>
      </c>
      <c r="C11" s="44"/>
      <c r="D11" s="44"/>
    </row>
    <row r="12" spans="1:27" ht="78.75" customHeight="1">
      <c r="A12" s="19">
        <v>6</v>
      </c>
      <c r="B12" s="19" t="s">
        <v>133</v>
      </c>
      <c r="C12" s="44"/>
      <c r="D12" s="44"/>
    </row>
    <row r="13" spans="1:27" ht="78.75" customHeight="1">
      <c r="A13" s="19">
        <v>7</v>
      </c>
      <c r="B13" s="19" t="s">
        <v>134</v>
      </c>
      <c r="C13" s="44"/>
      <c r="D13" s="44"/>
    </row>
    <row r="14" spans="1:27" ht="78.75" customHeight="1">
      <c r="A14" s="19">
        <v>8</v>
      </c>
      <c r="B14" s="19" t="s">
        <v>135</v>
      </c>
      <c r="C14" s="44"/>
      <c r="D14" s="44"/>
    </row>
    <row r="15" spans="1:27" ht="78.75" customHeight="1">
      <c r="A15" s="19">
        <v>9</v>
      </c>
      <c r="B15" s="19" t="s">
        <v>136</v>
      </c>
      <c r="C15" s="44"/>
      <c r="D15" s="44"/>
    </row>
    <row r="16" spans="1:27" ht="78.75" customHeight="1">
      <c r="A16" s="19">
        <v>10</v>
      </c>
      <c r="B16" s="19" t="s">
        <v>137</v>
      </c>
      <c r="C16" s="44"/>
      <c r="D16" s="44"/>
    </row>
    <row r="17" spans="1:4" ht="78.75" customHeight="1">
      <c r="A17" s="19">
        <v>11</v>
      </c>
      <c r="B17" s="19" t="s">
        <v>138</v>
      </c>
      <c r="C17" s="44"/>
      <c r="D17" s="44"/>
    </row>
    <row r="18" spans="1:4" ht="78.75" customHeight="1">
      <c r="A18" s="19">
        <v>12</v>
      </c>
      <c r="B18" s="19" t="s">
        <v>139</v>
      </c>
      <c r="C18" s="44"/>
      <c r="D18" s="44"/>
    </row>
    <row r="19" spans="1:4" ht="78.75" customHeight="1">
      <c r="A19" s="19">
        <v>13</v>
      </c>
      <c r="B19" s="19" t="s">
        <v>140</v>
      </c>
      <c r="C19" s="44"/>
      <c r="D19" s="44"/>
    </row>
    <row r="20" spans="1:4" ht="78.75" customHeight="1">
      <c r="A20" s="19">
        <v>14</v>
      </c>
      <c r="B20" s="19" t="s">
        <v>141</v>
      </c>
      <c r="C20" s="44"/>
      <c r="D20" s="44"/>
    </row>
    <row r="21" spans="1:4" ht="78.75" customHeight="1">
      <c r="A21" s="19">
        <v>15</v>
      </c>
      <c r="B21" s="19" t="s">
        <v>142</v>
      </c>
      <c r="C21" s="44"/>
      <c r="D21" s="44"/>
    </row>
    <row r="22" spans="1:4" ht="78.75" customHeight="1">
      <c r="A22" s="19">
        <v>16</v>
      </c>
      <c r="B22" s="19" t="s">
        <v>143</v>
      </c>
      <c r="C22" s="44"/>
      <c r="D22" s="44"/>
    </row>
    <row r="23" spans="1:4" ht="78.75" customHeight="1">
      <c r="A23" s="19">
        <v>17</v>
      </c>
      <c r="B23" s="19" t="s">
        <v>144</v>
      </c>
      <c r="C23" s="44"/>
      <c r="D23" s="44"/>
    </row>
    <row r="24" spans="1:4" ht="78.75" customHeight="1">
      <c r="A24" s="19">
        <v>18</v>
      </c>
      <c r="B24" s="19" t="s">
        <v>145</v>
      </c>
      <c r="C24" s="44"/>
      <c r="D24" s="44"/>
    </row>
    <row r="25" spans="1:4" ht="78.75" customHeight="1">
      <c r="A25" s="19">
        <v>19</v>
      </c>
      <c r="B25" s="19" t="s">
        <v>146</v>
      </c>
      <c r="C25" s="44" t="s">
        <v>433</v>
      </c>
      <c r="D25" s="44" t="s">
        <v>431</v>
      </c>
    </row>
    <row r="26" spans="1:4" ht="78.75" customHeight="1">
      <c r="A26" s="19">
        <v>20</v>
      </c>
      <c r="B26" s="19" t="s">
        <v>147</v>
      </c>
      <c r="C26" s="44"/>
      <c r="D26" s="44"/>
    </row>
    <row r="27" spans="1:4" ht="78.75" customHeight="1">
      <c r="A27" s="19">
        <v>21</v>
      </c>
      <c r="B27" s="19" t="s">
        <v>148</v>
      </c>
      <c r="C27" s="44"/>
      <c r="D27" s="44"/>
    </row>
    <row r="28" spans="1:4" ht="78.75" customHeight="1">
      <c r="A28" s="19">
        <v>22</v>
      </c>
      <c r="B28" s="19" t="s">
        <v>149</v>
      </c>
      <c r="C28" s="44"/>
      <c r="D28" s="44"/>
    </row>
    <row r="29" spans="1:4" ht="78.75" customHeight="1">
      <c r="A29" s="19">
        <v>23</v>
      </c>
      <c r="B29" s="19" t="s">
        <v>150</v>
      </c>
      <c r="C29" s="44"/>
      <c r="D29" s="44"/>
    </row>
    <row r="30" spans="1:4" ht="78.75" customHeight="1">
      <c r="A30" s="19">
        <v>24</v>
      </c>
      <c r="B30" s="19" t="s">
        <v>151</v>
      </c>
      <c r="C30" s="44"/>
      <c r="D30" s="44"/>
    </row>
    <row r="31" spans="1:4" ht="78.75" customHeight="1">
      <c r="A31" s="19">
        <v>25</v>
      </c>
      <c r="B31" s="19" t="s">
        <v>152</v>
      </c>
      <c r="C31" s="44"/>
      <c r="D31" s="44"/>
    </row>
    <row r="32" spans="1:4" ht="78.75" customHeight="1">
      <c r="A32" s="19">
        <v>26</v>
      </c>
      <c r="B32" s="19" t="s">
        <v>153</v>
      </c>
      <c r="C32" s="44"/>
      <c r="D32" s="44"/>
    </row>
    <row r="33" spans="1:4" ht="78.75" customHeight="1">
      <c r="A33" s="19">
        <v>27</v>
      </c>
      <c r="B33" s="19" t="s">
        <v>154</v>
      </c>
      <c r="C33" s="44"/>
      <c r="D33" s="44"/>
    </row>
    <row r="34" spans="1:4" ht="78.75" customHeight="1">
      <c r="A34" s="19">
        <v>28</v>
      </c>
      <c r="B34" s="19" t="s">
        <v>155</v>
      </c>
      <c r="C34" s="44"/>
      <c r="D34" s="44"/>
    </row>
    <row r="35" spans="1:4" ht="78.75" customHeight="1">
      <c r="A35" s="19">
        <v>29</v>
      </c>
      <c r="B35" s="19" t="s">
        <v>156</v>
      </c>
      <c r="C35" s="44"/>
      <c r="D35" s="44"/>
    </row>
    <row r="36" spans="1:4" ht="78.75" customHeight="1">
      <c r="A36" s="19">
        <v>30</v>
      </c>
      <c r="B36" s="19" t="s">
        <v>157</v>
      </c>
      <c r="C36" s="44"/>
      <c r="D36" s="44"/>
    </row>
    <row r="37" spans="1:4" ht="78.75" customHeight="1">
      <c r="A37" s="19">
        <v>31</v>
      </c>
      <c r="B37" s="19" t="s">
        <v>158</v>
      </c>
      <c r="C37" s="44"/>
      <c r="D37" s="44"/>
    </row>
    <row r="38" spans="1:4" ht="78.75" customHeight="1">
      <c r="A38" s="19">
        <v>32</v>
      </c>
      <c r="B38" s="19" t="s">
        <v>159</v>
      </c>
      <c r="C38" s="44"/>
      <c r="D38" s="44"/>
    </row>
    <row r="39" spans="1:4" ht="78.75" customHeight="1">
      <c r="A39" s="19">
        <v>33</v>
      </c>
      <c r="B39" s="19" t="s">
        <v>160</v>
      </c>
      <c r="C39" s="44"/>
      <c r="D39" s="44"/>
    </row>
    <row r="40" spans="1:4" ht="78.75" customHeight="1">
      <c r="A40" s="19">
        <v>34</v>
      </c>
      <c r="B40" s="19" t="s">
        <v>161</v>
      </c>
      <c r="C40" s="44"/>
      <c r="D40" s="44"/>
    </row>
    <row r="41" spans="1:4" ht="78.75" customHeight="1">
      <c r="A41" s="19">
        <v>35</v>
      </c>
      <c r="B41" s="19" t="s">
        <v>162</v>
      </c>
      <c r="C41" s="44"/>
      <c r="D41" s="44"/>
    </row>
    <row r="42" spans="1:4" ht="78.75" customHeight="1">
      <c r="A42" s="19">
        <v>36</v>
      </c>
      <c r="B42" s="19" t="s">
        <v>163</v>
      </c>
      <c r="C42" s="44"/>
      <c r="D42" s="44"/>
    </row>
    <row r="43" spans="1:4" ht="78.75" customHeight="1">
      <c r="A43" s="19">
        <v>37</v>
      </c>
      <c r="B43" s="19" t="s">
        <v>164</v>
      </c>
      <c r="C43" s="44"/>
      <c r="D43" s="44"/>
    </row>
    <row r="44" spans="1:4" ht="78.75" customHeight="1">
      <c r="A44" s="19">
        <v>38</v>
      </c>
      <c r="B44" s="19" t="s">
        <v>165</v>
      </c>
      <c r="C44" s="44"/>
      <c r="D44" s="44"/>
    </row>
    <row r="45" spans="1:4" ht="78.75" customHeight="1">
      <c r="A45" s="19">
        <v>39</v>
      </c>
      <c r="B45" s="19" t="s">
        <v>166</v>
      </c>
      <c r="C45" s="44"/>
      <c r="D45" s="44"/>
    </row>
    <row r="46" spans="1:4" ht="78.75" customHeight="1">
      <c r="A46" s="19">
        <v>40</v>
      </c>
      <c r="B46" s="19" t="s">
        <v>167</v>
      </c>
      <c r="C46" s="44"/>
      <c r="D46" s="44"/>
    </row>
    <row r="47" spans="1:4" ht="78.75" customHeight="1">
      <c r="A47" s="19">
        <v>41</v>
      </c>
      <c r="B47" s="19" t="s">
        <v>168</v>
      </c>
      <c r="C47" s="44"/>
      <c r="D47" s="44"/>
    </row>
    <row r="48" spans="1:4" ht="78.75" customHeight="1">
      <c r="A48" s="19">
        <v>42</v>
      </c>
      <c r="B48" s="19" t="s">
        <v>169</v>
      </c>
      <c r="C48" s="44"/>
      <c r="D48" s="44"/>
    </row>
    <row r="49" spans="1:4" ht="78.75" customHeight="1">
      <c r="A49" s="19">
        <v>43</v>
      </c>
      <c r="B49" s="19" t="s">
        <v>170</v>
      </c>
      <c r="C49" s="44"/>
      <c r="D49" s="44"/>
    </row>
    <row r="50" spans="1:4" hidden="1">
      <c r="C50" s="2">
        <f>COUNTA(C7:C49)</f>
        <v>1</v>
      </c>
      <c r="D50" s="2">
        <f>COUNTA(D7:D49)</f>
        <v>1</v>
      </c>
    </row>
  </sheetData>
  <sheetProtection sheet="1" objects="1" scenarios="1" selectLockedCells="1"/>
  <mergeCells count="7">
    <mergeCell ref="A1:B1"/>
    <mergeCell ref="A3:B3"/>
    <mergeCell ref="A5:A6"/>
    <mergeCell ref="B5:B6"/>
    <mergeCell ref="C5:D5"/>
    <mergeCell ref="A4:B4"/>
    <mergeCell ref="A2:D2"/>
  </mergeCells>
  <hyperlinks>
    <hyperlink ref="A1" location="Форма!A1" display="Вернуться на лист &quot;Форма&quot;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IF(OR($AA$7=3,LEN($C7)=0),'Возможность импортозамещения'!$B$3,'Возможность импортозамещения'!$B$4:$B$5)</xm:f>
          </x14:formula1>
          <xm:sqref>D7:D49</xm:sqref>
        </x14:dataValidation>
        <x14:dataValidation type="list" allowBlank="1" showInputMessage="1" showErrorMessage="1">
          <x14:formula1>
            <xm:f>IF($Z$7=3,'Клинический эффект'!$B$3,'Клинический эффект'!$B$4:$B$9)</xm:f>
          </x14:formula1>
          <xm:sqref>C7:C49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10"/>
  <dimension ref="A1:B9"/>
  <sheetViews>
    <sheetView workbookViewId="0">
      <selection activeCell="B12" sqref="B12"/>
    </sheetView>
  </sheetViews>
  <sheetFormatPr defaultRowHeight="14.4"/>
  <cols>
    <col min="1" max="1" width="5.5546875" customWidth="1"/>
    <col min="2" max="2" width="94" customWidth="1"/>
  </cols>
  <sheetData>
    <row r="1" spans="1:2" ht="51.75" customHeight="1">
      <c r="A1" s="74" t="s">
        <v>50</v>
      </c>
      <c r="B1" s="74"/>
    </row>
    <row r="2" spans="1:2" ht="18" customHeight="1">
      <c r="A2" s="15" t="s">
        <v>0</v>
      </c>
      <c r="B2" s="13" t="s">
        <v>51</v>
      </c>
    </row>
    <row r="3" spans="1:2" ht="18" customHeight="1">
      <c r="A3" s="15"/>
      <c r="B3" s="13"/>
    </row>
    <row r="4" spans="1:2" ht="15.6">
      <c r="A4" s="9">
        <v>1</v>
      </c>
      <c r="B4" s="9" t="s">
        <v>10</v>
      </c>
    </row>
    <row r="5" spans="1:2" ht="36.75" customHeight="1">
      <c r="A5" s="9">
        <v>2</v>
      </c>
      <c r="B5" s="9" t="s">
        <v>12</v>
      </c>
    </row>
    <row r="6" spans="1:2" ht="54" customHeight="1">
      <c r="A6" s="9">
        <v>3</v>
      </c>
      <c r="B6" s="9" t="s">
        <v>13</v>
      </c>
    </row>
    <row r="7" spans="1:2" ht="15.6">
      <c r="A7" s="9">
        <v>4</v>
      </c>
      <c r="B7" s="9" t="s">
        <v>14</v>
      </c>
    </row>
    <row r="8" spans="1:2" ht="15.6">
      <c r="A8" s="9">
        <v>5</v>
      </c>
      <c r="B8" s="9" t="s">
        <v>15</v>
      </c>
    </row>
    <row r="9" spans="1:2" ht="15.6">
      <c r="A9" s="9">
        <v>6</v>
      </c>
      <c r="B9" s="9" t="s">
        <v>16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11"/>
  <dimension ref="A1:B5"/>
  <sheetViews>
    <sheetView workbookViewId="0">
      <selection activeCell="B3" sqref="B3"/>
    </sheetView>
  </sheetViews>
  <sheetFormatPr defaultRowHeight="14.4"/>
  <cols>
    <col min="2" max="2" width="35.88671875" customWidth="1"/>
  </cols>
  <sheetData>
    <row r="1" spans="1:2" ht="30" customHeight="1">
      <c r="A1" s="74" t="s">
        <v>9</v>
      </c>
      <c r="B1" s="75"/>
    </row>
    <row r="2" spans="1:2">
      <c r="A2" s="16" t="s">
        <v>0</v>
      </c>
      <c r="B2" s="12" t="s">
        <v>52</v>
      </c>
    </row>
    <row r="3" spans="1:2">
      <c r="A3" s="16"/>
      <c r="B3" s="12"/>
    </row>
    <row r="4" spans="1:2" ht="33.75" customHeight="1">
      <c r="A4" s="14">
        <v>1</v>
      </c>
      <c r="B4" s="14" t="s">
        <v>11</v>
      </c>
    </row>
    <row r="5" spans="1:2" ht="42.75" customHeight="1">
      <c r="A5" s="14">
        <v>2</v>
      </c>
      <c r="B5" s="14" t="s">
        <v>18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1"/>
  <dimension ref="A1:E62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395</v>
      </c>
      <c r="B6" s="78"/>
      <c r="C6" s="78"/>
      <c r="D6" s="78"/>
    </row>
    <row r="7" spans="1:5" ht="30" customHeight="1">
      <c r="A7" s="76" t="s">
        <v>73</v>
      </c>
      <c r="B7" s="77"/>
      <c r="C7" s="77"/>
      <c r="D7" s="45" t="b">
        <v>0</v>
      </c>
      <c r="E7">
        <f>IF(LEN(D7)&gt;4,1,0)</f>
        <v>0</v>
      </c>
    </row>
    <row r="8" spans="1:5" ht="23.25" customHeight="1">
      <c r="A8" s="76" t="s">
        <v>74</v>
      </c>
      <c r="B8" s="77"/>
      <c r="C8" s="77"/>
      <c r="D8" s="45" t="b">
        <v>0</v>
      </c>
      <c r="E8">
        <f t="shared" ref="E8:E61" si="0">IF(LEN(D8)&gt;4,1,0)</f>
        <v>0</v>
      </c>
    </row>
    <row r="9" spans="1:5" ht="23.25" customHeight="1">
      <c r="A9" s="76" t="s">
        <v>75</v>
      </c>
      <c r="B9" s="77"/>
      <c r="C9" s="77"/>
      <c r="D9" s="45" t="b">
        <v>0</v>
      </c>
      <c r="E9">
        <f t="shared" si="0"/>
        <v>0</v>
      </c>
    </row>
    <row r="10" spans="1:5" ht="23.25" customHeight="1">
      <c r="A10" s="76" t="s">
        <v>76</v>
      </c>
      <c r="B10" s="77"/>
      <c r="C10" s="77"/>
      <c r="D10" s="45" t="b">
        <v>0</v>
      </c>
      <c r="E10">
        <f t="shared" si="0"/>
        <v>0</v>
      </c>
    </row>
    <row r="11" spans="1:5" ht="23.25" customHeight="1">
      <c r="A11" s="76" t="s">
        <v>77</v>
      </c>
      <c r="B11" s="77"/>
      <c r="C11" s="77"/>
      <c r="D11" s="45" t="b">
        <v>0</v>
      </c>
      <c r="E11">
        <f t="shared" si="0"/>
        <v>0</v>
      </c>
    </row>
    <row r="12" spans="1:5" ht="23.25" customHeight="1">
      <c r="A12" s="76" t="s">
        <v>78</v>
      </c>
      <c r="B12" s="77"/>
      <c r="C12" s="77"/>
      <c r="D12" s="45" t="b">
        <v>0</v>
      </c>
      <c r="E12">
        <f t="shared" si="0"/>
        <v>0</v>
      </c>
    </row>
    <row r="13" spans="1:5" ht="23.25" customHeight="1">
      <c r="A13" s="76" t="s">
        <v>79</v>
      </c>
      <c r="B13" s="77"/>
      <c r="C13" s="77"/>
      <c r="D13" s="45" t="b">
        <v>0</v>
      </c>
      <c r="E13">
        <f t="shared" si="0"/>
        <v>0</v>
      </c>
    </row>
    <row r="14" spans="1:5" ht="23.25" customHeight="1">
      <c r="A14" s="76" t="s">
        <v>80</v>
      </c>
      <c r="B14" s="77"/>
      <c r="C14" s="77"/>
      <c r="D14" s="45" t="b">
        <v>0</v>
      </c>
      <c r="E14">
        <f t="shared" si="0"/>
        <v>0</v>
      </c>
    </row>
    <row r="15" spans="1:5" ht="23.25" customHeight="1">
      <c r="A15" s="76" t="s">
        <v>81</v>
      </c>
      <c r="B15" s="77"/>
      <c r="C15" s="77"/>
      <c r="D15" s="45" t="b">
        <v>0</v>
      </c>
      <c r="E15">
        <f t="shared" si="0"/>
        <v>0</v>
      </c>
    </row>
    <row r="16" spans="1:5" ht="23.25" customHeight="1">
      <c r="A16" s="76" t="s">
        <v>82</v>
      </c>
      <c r="B16" s="77"/>
      <c r="C16" s="77"/>
      <c r="D16" s="45" t="b">
        <v>0</v>
      </c>
      <c r="E16">
        <f t="shared" si="0"/>
        <v>0</v>
      </c>
    </row>
    <row r="17" spans="1:5" ht="23.25" customHeight="1">
      <c r="A17" s="76" t="s">
        <v>83</v>
      </c>
      <c r="B17" s="77"/>
      <c r="C17" s="77"/>
      <c r="D17" s="45" t="b">
        <v>0</v>
      </c>
      <c r="E17">
        <f t="shared" si="0"/>
        <v>0</v>
      </c>
    </row>
    <row r="18" spans="1:5" ht="23.25" customHeight="1">
      <c r="A18" s="76" t="s">
        <v>84</v>
      </c>
      <c r="B18" s="77"/>
      <c r="C18" s="77"/>
      <c r="D18" s="45" t="b">
        <v>0</v>
      </c>
      <c r="E18">
        <f t="shared" si="0"/>
        <v>0</v>
      </c>
    </row>
    <row r="19" spans="1:5" ht="23.25" customHeight="1">
      <c r="A19" s="76" t="s">
        <v>85</v>
      </c>
      <c r="B19" s="77"/>
      <c r="C19" s="77"/>
      <c r="D19" s="45" t="b">
        <v>0</v>
      </c>
      <c r="E19">
        <f t="shared" si="0"/>
        <v>0</v>
      </c>
    </row>
    <row r="20" spans="1:5" ht="23.25" customHeight="1">
      <c r="A20" s="76" t="s">
        <v>86</v>
      </c>
      <c r="B20" s="77"/>
      <c r="C20" s="77"/>
      <c r="D20" s="45" t="b">
        <v>0</v>
      </c>
      <c r="E20">
        <f t="shared" si="0"/>
        <v>0</v>
      </c>
    </row>
    <row r="21" spans="1:5" ht="23.25" customHeight="1">
      <c r="A21" s="76" t="s">
        <v>87</v>
      </c>
      <c r="B21" s="77"/>
      <c r="C21" s="77"/>
      <c r="D21" s="45" t="b">
        <v>0</v>
      </c>
      <c r="E21">
        <f t="shared" si="0"/>
        <v>0</v>
      </c>
    </row>
    <row r="22" spans="1:5" ht="23.25" customHeight="1">
      <c r="A22" s="76" t="s">
        <v>88</v>
      </c>
      <c r="B22" s="77"/>
      <c r="C22" s="77"/>
      <c r="D22" s="45" t="b">
        <v>0</v>
      </c>
      <c r="E22">
        <f t="shared" si="0"/>
        <v>0</v>
      </c>
    </row>
    <row r="23" spans="1:5" ht="33" customHeight="1">
      <c r="A23" s="76" t="s">
        <v>89</v>
      </c>
      <c r="B23" s="77"/>
      <c r="C23" s="77"/>
      <c r="D23" s="45" t="b">
        <v>0</v>
      </c>
      <c r="E23">
        <f t="shared" si="0"/>
        <v>0</v>
      </c>
    </row>
    <row r="24" spans="1:5" ht="30.75" customHeight="1">
      <c r="A24" s="76" t="s">
        <v>90</v>
      </c>
      <c r="B24" s="77"/>
      <c r="C24" s="77"/>
      <c r="D24" s="45" t="b">
        <v>0</v>
      </c>
      <c r="E24">
        <f t="shared" si="0"/>
        <v>0</v>
      </c>
    </row>
    <row r="25" spans="1:5" ht="23.25" customHeight="1">
      <c r="A25" s="76" t="s">
        <v>91</v>
      </c>
      <c r="B25" s="77"/>
      <c r="C25" s="77"/>
      <c r="D25" s="45" t="b">
        <v>0</v>
      </c>
      <c r="E25">
        <f t="shared" si="0"/>
        <v>0</v>
      </c>
    </row>
    <row r="26" spans="1:5" ht="23.25" customHeight="1">
      <c r="A26" s="76" t="s">
        <v>92</v>
      </c>
      <c r="B26" s="77"/>
      <c r="C26" s="77"/>
      <c r="D26" s="45" t="b">
        <v>0</v>
      </c>
      <c r="E26">
        <f t="shared" si="0"/>
        <v>0</v>
      </c>
    </row>
    <row r="27" spans="1:5" ht="23.25" customHeight="1">
      <c r="A27" s="76" t="s">
        <v>93</v>
      </c>
      <c r="B27" s="77"/>
      <c r="C27" s="77"/>
      <c r="D27" s="45" t="b">
        <v>0</v>
      </c>
      <c r="E27">
        <f t="shared" si="0"/>
        <v>0</v>
      </c>
    </row>
    <row r="28" spans="1:5" ht="23.25" customHeight="1">
      <c r="A28" s="76" t="s">
        <v>94</v>
      </c>
      <c r="B28" s="77"/>
      <c r="C28" s="77"/>
      <c r="D28" s="45" t="b">
        <v>0</v>
      </c>
      <c r="E28">
        <f t="shared" si="0"/>
        <v>0</v>
      </c>
    </row>
    <row r="29" spans="1:5" ht="23.25" customHeight="1">
      <c r="A29" s="76" t="s">
        <v>95</v>
      </c>
      <c r="B29" s="77"/>
      <c r="C29" s="77"/>
      <c r="D29" s="45" t="b">
        <v>0</v>
      </c>
      <c r="E29">
        <f t="shared" si="0"/>
        <v>0</v>
      </c>
    </row>
    <row r="30" spans="1:5" ht="23.25" customHeight="1">
      <c r="A30" s="76" t="s">
        <v>96</v>
      </c>
      <c r="B30" s="77"/>
      <c r="C30" s="77"/>
      <c r="D30" s="45" t="b">
        <v>0</v>
      </c>
      <c r="E30">
        <f t="shared" si="0"/>
        <v>0</v>
      </c>
    </row>
    <row r="31" spans="1:5" ht="23.25" customHeight="1">
      <c r="A31" s="76" t="s">
        <v>97</v>
      </c>
      <c r="B31" s="77"/>
      <c r="C31" s="77"/>
      <c r="D31" s="45" t="b">
        <v>0</v>
      </c>
      <c r="E31">
        <f t="shared" si="0"/>
        <v>0</v>
      </c>
    </row>
    <row r="32" spans="1:5" ht="23.25" customHeight="1">
      <c r="A32" s="76" t="s">
        <v>98</v>
      </c>
      <c r="B32" s="77"/>
      <c r="C32" s="77"/>
      <c r="D32" s="45" t="b">
        <v>0</v>
      </c>
      <c r="E32">
        <f t="shared" si="0"/>
        <v>0</v>
      </c>
    </row>
    <row r="33" spans="1:5" ht="23.25" customHeight="1">
      <c r="A33" s="76" t="s">
        <v>99</v>
      </c>
      <c r="B33" s="77"/>
      <c r="C33" s="77"/>
      <c r="D33" s="45" t="b">
        <v>0</v>
      </c>
      <c r="E33">
        <f t="shared" si="0"/>
        <v>0</v>
      </c>
    </row>
    <row r="34" spans="1:5" ht="23.25" customHeight="1">
      <c r="A34" s="76" t="s">
        <v>100</v>
      </c>
      <c r="B34" s="77"/>
      <c r="C34" s="77"/>
      <c r="D34" s="45" t="b">
        <v>0</v>
      </c>
      <c r="E34">
        <f t="shared" si="0"/>
        <v>0</v>
      </c>
    </row>
    <row r="35" spans="1:5" ht="23.25" customHeight="1">
      <c r="A35" s="76" t="s">
        <v>101</v>
      </c>
      <c r="B35" s="77"/>
      <c r="C35" s="77"/>
      <c r="D35" s="45" t="b">
        <v>0</v>
      </c>
      <c r="E35">
        <f t="shared" si="0"/>
        <v>0</v>
      </c>
    </row>
    <row r="36" spans="1:5" ht="23.25" customHeight="1">
      <c r="A36" s="76" t="s">
        <v>102</v>
      </c>
      <c r="B36" s="77"/>
      <c r="C36" s="77"/>
      <c r="D36" s="45" t="b">
        <v>0</v>
      </c>
      <c r="E36">
        <f t="shared" si="0"/>
        <v>0</v>
      </c>
    </row>
    <row r="37" spans="1:5" ht="23.25" customHeight="1">
      <c r="A37" s="76" t="s">
        <v>103</v>
      </c>
      <c r="B37" s="77"/>
      <c r="C37" s="77"/>
      <c r="D37" s="45" t="b">
        <v>0</v>
      </c>
      <c r="E37">
        <f t="shared" si="0"/>
        <v>0</v>
      </c>
    </row>
    <row r="38" spans="1:5" ht="23.25" customHeight="1">
      <c r="A38" s="76" t="s">
        <v>104</v>
      </c>
      <c r="B38" s="77"/>
      <c r="C38" s="77"/>
      <c r="D38" s="45" t="b">
        <v>0</v>
      </c>
      <c r="E38">
        <f t="shared" si="0"/>
        <v>0</v>
      </c>
    </row>
    <row r="39" spans="1:5" ht="23.25" customHeight="1">
      <c r="A39" s="76" t="s">
        <v>105</v>
      </c>
      <c r="B39" s="77"/>
      <c r="C39" s="77"/>
      <c r="D39" s="45" t="b">
        <v>0</v>
      </c>
      <c r="E39">
        <f t="shared" si="0"/>
        <v>0</v>
      </c>
    </row>
    <row r="40" spans="1:5" ht="23.25" customHeight="1">
      <c r="A40" s="76" t="s">
        <v>106</v>
      </c>
      <c r="B40" s="77"/>
      <c r="C40" s="77"/>
      <c r="D40" s="45" t="b">
        <v>0</v>
      </c>
      <c r="E40">
        <f t="shared" si="0"/>
        <v>0</v>
      </c>
    </row>
    <row r="41" spans="1:5" ht="23.25" customHeight="1">
      <c r="A41" s="76" t="s">
        <v>107</v>
      </c>
      <c r="B41" s="77"/>
      <c r="C41" s="77"/>
      <c r="D41" s="45" t="b">
        <v>0</v>
      </c>
      <c r="E41">
        <f t="shared" si="0"/>
        <v>0</v>
      </c>
    </row>
    <row r="42" spans="1:5" ht="23.25" customHeight="1">
      <c r="A42" s="76" t="s">
        <v>108</v>
      </c>
      <c r="B42" s="77"/>
      <c r="C42" s="77"/>
      <c r="D42" s="45" t="b">
        <v>0</v>
      </c>
      <c r="E42">
        <f t="shared" si="0"/>
        <v>0</v>
      </c>
    </row>
    <row r="43" spans="1:5" ht="28.5" customHeight="1">
      <c r="A43" s="76" t="s">
        <v>109</v>
      </c>
      <c r="B43" s="77"/>
      <c r="C43" s="77"/>
      <c r="D43" s="45" t="b">
        <v>0</v>
      </c>
      <c r="E43">
        <f t="shared" si="0"/>
        <v>0</v>
      </c>
    </row>
    <row r="44" spans="1:5" ht="23.25" customHeight="1">
      <c r="A44" s="76" t="s">
        <v>110</v>
      </c>
      <c r="B44" s="77"/>
      <c r="C44" s="77"/>
      <c r="D44" s="45" t="b">
        <v>0</v>
      </c>
      <c r="E44">
        <f t="shared" si="0"/>
        <v>0</v>
      </c>
    </row>
    <row r="45" spans="1:5" ht="23.25" customHeight="1">
      <c r="A45" s="76" t="s">
        <v>111</v>
      </c>
      <c r="B45" s="77"/>
      <c r="C45" s="77"/>
      <c r="D45" s="45" t="b">
        <v>0</v>
      </c>
      <c r="E45">
        <f t="shared" si="0"/>
        <v>0</v>
      </c>
    </row>
    <row r="46" spans="1:5" ht="23.25" customHeight="1">
      <c r="A46" s="76" t="s">
        <v>112</v>
      </c>
      <c r="B46" s="77"/>
      <c r="C46" s="77"/>
      <c r="D46" s="45" t="b">
        <v>0</v>
      </c>
      <c r="E46">
        <f t="shared" si="0"/>
        <v>0</v>
      </c>
    </row>
    <row r="47" spans="1:5" ht="23.25" customHeight="1">
      <c r="A47" s="76" t="s">
        <v>113</v>
      </c>
      <c r="B47" s="77"/>
      <c r="C47" s="77"/>
      <c r="D47" s="45" t="b">
        <v>0</v>
      </c>
      <c r="E47">
        <f t="shared" si="0"/>
        <v>0</v>
      </c>
    </row>
    <row r="48" spans="1:5" ht="23.25" customHeight="1">
      <c r="A48" s="76" t="s">
        <v>114</v>
      </c>
      <c r="B48" s="77"/>
      <c r="C48" s="77"/>
      <c r="D48" s="45" t="b">
        <v>0</v>
      </c>
      <c r="E48">
        <f t="shared" si="0"/>
        <v>0</v>
      </c>
    </row>
    <row r="49" spans="1:5" ht="23.25" customHeight="1">
      <c r="A49" s="76" t="s">
        <v>115</v>
      </c>
      <c r="B49" s="77"/>
      <c r="C49" s="77"/>
      <c r="D49" s="45" t="b">
        <v>0</v>
      </c>
      <c r="E49">
        <f t="shared" si="0"/>
        <v>0</v>
      </c>
    </row>
    <row r="50" spans="1:5" ht="35.25" customHeight="1">
      <c r="A50" s="76" t="s">
        <v>116</v>
      </c>
      <c r="B50" s="77"/>
      <c r="C50" s="77"/>
      <c r="D50" s="45" t="b">
        <v>0</v>
      </c>
      <c r="E50">
        <f t="shared" si="0"/>
        <v>0</v>
      </c>
    </row>
    <row r="51" spans="1:5" ht="23.25" customHeight="1">
      <c r="A51" s="76" t="s">
        <v>117</v>
      </c>
      <c r="B51" s="77"/>
      <c r="C51" s="77"/>
      <c r="D51" s="45" t="b">
        <v>0</v>
      </c>
      <c r="E51">
        <f t="shared" si="0"/>
        <v>0</v>
      </c>
    </row>
    <row r="52" spans="1:5" ht="23.25" customHeight="1">
      <c r="A52" s="76" t="s">
        <v>118</v>
      </c>
      <c r="B52" s="77"/>
      <c r="C52" s="77"/>
      <c r="D52" s="45" t="b">
        <v>0</v>
      </c>
      <c r="E52">
        <f t="shared" si="0"/>
        <v>0</v>
      </c>
    </row>
    <row r="53" spans="1:5" ht="23.25" customHeight="1">
      <c r="A53" s="76" t="s">
        <v>119</v>
      </c>
      <c r="B53" s="77"/>
      <c r="C53" s="77"/>
      <c r="D53" s="45" t="b">
        <v>0</v>
      </c>
      <c r="E53">
        <f t="shared" si="0"/>
        <v>0</v>
      </c>
    </row>
    <row r="54" spans="1:5" ht="23.25" customHeight="1">
      <c r="A54" s="76" t="s">
        <v>120</v>
      </c>
      <c r="B54" s="77"/>
      <c r="C54" s="77"/>
      <c r="D54" s="45" t="b">
        <v>0</v>
      </c>
      <c r="E54">
        <f t="shared" si="0"/>
        <v>0</v>
      </c>
    </row>
    <row r="55" spans="1:5" ht="23.25" customHeight="1">
      <c r="A55" s="76" t="s">
        <v>121</v>
      </c>
      <c r="B55" s="77"/>
      <c r="C55" s="77"/>
      <c r="D55" s="45" t="b">
        <v>0</v>
      </c>
      <c r="E55">
        <f t="shared" si="0"/>
        <v>0</v>
      </c>
    </row>
    <row r="56" spans="1:5" ht="23.25" customHeight="1">
      <c r="A56" s="76" t="s">
        <v>122</v>
      </c>
      <c r="B56" s="77"/>
      <c r="C56" s="77"/>
      <c r="D56" s="45" t="b">
        <v>0</v>
      </c>
      <c r="E56">
        <f t="shared" si="0"/>
        <v>0</v>
      </c>
    </row>
    <row r="57" spans="1:5" ht="23.25" customHeight="1">
      <c r="A57" s="76" t="s">
        <v>123</v>
      </c>
      <c r="B57" s="77"/>
      <c r="C57" s="77"/>
      <c r="D57" s="45" t="b">
        <v>0</v>
      </c>
      <c r="E57">
        <f t="shared" si="0"/>
        <v>0</v>
      </c>
    </row>
    <row r="58" spans="1:5" ht="23.25" customHeight="1">
      <c r="A58" s="76" t="s">
        <v>124</v>
      </c>
      <c r="B58" s="77"/>
      <c r="C58" s="77"/>
      <c r="D58" s="45" t="b">
        <v>0</v>
      </c>
      <c r="E58">
        <f t="shared" si="0"/>
        <v>0</v>
      </c>
    </row>
    <row r="59" spans="1:5" ht="23.25" customHeight="1">
      <c r="A59" s="76" t="s">
        <v>125</v>
      </c>
      <c r="B59" s="77"/>
      <c r="C59" s="77"/>
      <c r="D59" s="45" t="b">
        <v>0</v>
      </c>
      <c r="E59">
        <f t="shared" si="0"/>
        <v>0</v>
      </c>
    </row>
    <row r="60" spans="1:5" ht="23.25" customHeight="1">
      <c r="A60" s="76" t="s">
        <v>126</v>
      </c>
      <c r="B60" s="77"/>
      <c r="C60" s="77"/>
      <c r="D60" s="45" t="b">
        <v>0</v>
      </c>
      <c r="E60">
        <f t="shared" si="0"/>
        <v>0</v>
      </c>
    </row>
    <row r="61" spans="1:5" ht="23.25" customHeight="1">
      <c r="A61" s="76" t="s">
        <v>127</v>
      </c>
      <c r="B61" s="77"/>
      <c r="C61" s="77"/>
      <c r="D61" s="45" t="b">
        <v>0</v>
      </c>
      <c r="E61">
        <f t="shared" si="0"/>
        <v>0</v>
      </c>
    </row>
    <row r="62" spans="1:5">
      <c r="E62">
        <f>SUM(E7:E61)</f>
        <v>0</v>
      </c>
    </row>
  </sheetData>
  <sheetProtection sheet="1" objects="1" scenarios="1" selectLockedCells="1"/>
  <mergeCells count="60">
    <mergeCell ref="A12:C12"/>
    <mergeCell ref="A1:B1"/>
    <mergeCell ref="A3:B3"/>
    <mergeCell ref="A7:C7"/>
    <mergeCell ref="A8:C8"/>
    <mergeCell ref="A9:C9"/>
    <mergeCell ref="A10:C10"/>
    <mergeCell ref="A11:C11"/>
    <mergeCell ref="A24:C24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36:C36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48:C48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61:C61"/>
    <mergeCell ref="A6:D6"/>
    <mergeCell ref="A4:B4"/>
    <mergeCell ref="A2:D2"/>
    <mergeCell ref="A55:C55"/>
    <mergeCell ref="A56:C56"/>
    <mergeCell ref="A57:C57"/>
    <mergeCell ref="A58:C58"/>
    <mergeCell ref="A59:C59"/>
    <mergeCell ref="A60:C60"/>
    <mergeCell ref="A49:C49"/>
    <mergeCell ref="A50:C50"/>
    <mergeCell ref="A51:C51"/>
    <mergeCell ref="A52:C52"/>
    <mergeCell ref="A53:C53"/>
    <mergeCell ref="A54:C54"/>
  </mergeCells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6"/>
  <dimension ref="A1:E62"/>
  <sheetViews>
    <sheetView showGridLines="0" workbookViewId="0">
      <selection activeCell="D9" sqref="D9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4" customHeight="1">
      <c r="A6" s="78" t="s">
        <v>395</v>
      </c>
      <c r="B6" s="78"/>
      <c r="C6" s="78"/>
      <c r="D6" s="78"/>
    </row>
    <row r="7" spans="1:5" ht="30" customHeight="1">
      <c r="A7" s="76" t="s">
        <v>73</v>
      </c>
      <c r="B7" s="77"/>
      <c r="C7" s="77"/>
      <c r="D7" s="45" t="b">
        <v>0</v>
      </c>
      <c r="E7">
        <f>IF(LEN(D7)&gt;4,1,0)</f>
        <v>0</v>
      </c>
    </row>
    <row r="8" spans="1:5" ht="23.25" customHeight="1">
      <c r="A8" s="76" t="s">
        <v>74</v>
      </c>
      <c r="B8" s="77"/>
      <c r="C8" s="77"/>
      <c r="D8" s="45" t="b">
        <v>0</v>
      </c>
      <c r="E8">
        <f t="shared" ref="E8:E61" si="0">IF(LEN(D8)&gt;4,1,0)</f>
        <v>0</v>
      </c>
    </row>
    <row r="9" spans="1:5" ht="23.25" customHeight="1">
      <c r="A9" s="76" t="s">
        <v>75</v>
      </c>
      <c r="B9" s="77"/>
      <c r="C9" s="77"/>
      <c r="D9" s="45" t="b">
        <v>0</v>
      </c>
      <c r="E9">
        <f t="shared" si="0"/>
        <v>0</v>
      </c>
    </row>
    <row r="10" spans="1:5" ht="23.25" customHeight="1">
      <c r="A10" s="76" t="s">
        <v>76</v>
      </c>
      <c r="B10" s="77"/>
      <c r="C10" s="77"/>
      <c r="D10" s="45" t="b">
        <v>0</v>
      </c>
      <c r="E10">
        <f t="shared" si="0"/>
        <v>0</v>
      </c>
    </row>
    <row r="11" spans="1:5" ht="23.25" customHeight="1">
      <c r="A11" s="76" t="s">
        <v>77</v>
      </c>
      <c r="B11" s="77"/>
      <c r="C11" s="77"/>
      <c r="D11" s="45" t="b">
        <v>0</v>
      </c>
      <c r="E11">
        <f t="shared" si="0"/>
        <v>0</v>
      </c>
    </row>
    <row r="12" spans="1:5" ht="23.25" customHeight="1">
      <c r="A12" s="76" t="s">
        <v>78</v>
      </c>
      <c r="B12" s="77"/>
      <c r="C12" s="77"/>
      <c r="D12" s="45" t="b">
        <v>0</v>
      </c>
      <c r="E12">
        <f t="shared" si="0"/>
        <v>0</v>
      </c>
    </row>
    <row r="13" spans="1:5" ht="23.25" customHeight="1">
      <c r="A13" s="76" t="s">
        <v>79</v>
      </c>
      <c r="B13" s="77"/>
      <c r="C13" s="77"/>
      <c r="D13" s="45" t="b">
        <v>0</v>
      </c>
      <c r="E13">
        <f t="shared" si="0"/>
        <v>0</v>
      </c>
    </row>
    <row r="14" spans="1:5" ht="23.25" customHeight="1">
      <c r="A14" s="76" t="s">
        <v>80</v>
      </c>
      <c r="B14" s="77"/>
      <c r="C14" s="77"/>
      <c r="D14" s="45" t="b">
        <v>0</v>
      </c>
      <c r="E14">
        <f t="shared" si="0"/>
        <v>0</v>
      </c>
    </row>
    <row r="15" spans="1:5" ht="23.25" customHeight="1">
      <c r="A15" s="76" t="s">
        <v>81</v>
      </c>
      <c r="B15" s="77"/>
      <c r="C15" s="77"/>
      <c r="D15" s="45" t="b">
        <v>0</v>
      </c>
      <c r="E15">
        <f t="shared" si="0"/>
        <v>0</v>
      </c>
    </row>
    <row r="16" spans="1:5" ht="23.25" customHeight="1">
      <c r="A16" s="76" t="s">
        <v>82</v>
      </c>
      <c r="B16" s="77"/>
      <c r="C16" s="77"/>
      <c r="D16" s="45" t="b">
        <v>0</v>
      </c>
      <c r="E16">
        <f t="shared" si="0"/>
        <v>0</v>
      </c>
    </row>
    <row r="17" spans="1:5" ht="23.25" customHeight="1">
      <c r="A17" s="76" t="s">
        <v>83</v>
      </c>
      <c r="B17" s="77"/>
      <c r="C17" s="77"/>
      <c r="D17" s="45" t="b">
        <v>0</v>
      </c>
      <c r="E17">
        <f t="shared" si="0"/>
        <v>0</v>
      </c>
    </row>
    <row r="18" spans="1:5" ht="23.25" customHeight="1">
      <c r="A18" s="76" t="s">
        <v>84</v>
      </c>
      <c r="B18" s="77"/>
      <c r="C18" s="77"/>
      <c r="D18" s="45" t="b">
        <v>0</v>
      </c>
      <c r="E18">
        <f t="shared" si="0"/>
        <v>0</v>
      </c>
    </row>
    <row r="19" spans="1:5" ht="23.25" customHeight="1">
      <c r="A19" s="76" t="s">
        <v>85</v>
      </c>
      <c r="B19" s="77"/>
      <c r="C19" s="77"/>
      <c r="D19" s="45" t="b">
        <v>0</v>
      </c>
      <c r="E19">
        <f t="shared" si="0"/>
        <v>0</v>
      </c>
    </row>
    <row r="20" spans="1:5" ht="23.25" customHeight="1">
      <c r="A20" s="76" t="s">
        <v>86</v>
      </c>
      <c r="B20" s="77"/>
      <c r="C20" s="77"/>
      <c r="D20" s="45" t="b">
        <v>0</v>
      </c>
      <c r="E20">
        <f t="shared" si="0"/>
        <v>0</v>
      </c>
    </row>
    <row r="21" spans="1:5" ht="23.25" customHeight="1">
      <c r="A21" s="76" t="s">
        <v>87</v>
      </c>
      <c r="B21" s="77"/>
      <c r="C21" s="77"/>
      <c r="D21" s="45" t="b">
        <v>0</v>
      </c>
      <c r="E21">
        <f t="shared" si="0"/>
        <v>0</v>
      </c>
    </row>
    <row r="22" spans="1:5" ht="23.25" customHeight="1">
      <c r="A22" s="76" t="s">
        <v>88</v>
      </c>
      <c r="B22" s="77"/>
      <c r="C22" s="77"/>
      <c r="D22" s="45" t="b">
        <v>0</v>
      </c>
      <c r="E22">
        <f t="shared" si="0"/>
        <v>0</v>
      </c>
    </row>
    <row r="23" spans="1:5" ht="33" customHeight="1">
      <c r="A23" s="76" t="s">
        <v>89</v>
      </c>
      <c r="B23" s="77"/>
      <c r="C23" s="77"/>
      <c r="D23" s="45" t="b">
        <v>0</v>
      </c>
      <c r="E23">
        <f t="shared" si="0"/>
        <v>0</v>
      </c>
    </row>
    <row r="24" spans="1:5" ht="30.75" customHeight="1">
      <c r="A24" s="76" t="s">
        <v>90</v>
      </c>
      <c r="B24" s="77"/>
      <c r="C24" s="77"/>
      <c r="D24" s="45" t="b">
        <v>0</v>
      </c>
      <c r="E24">
        <f t="shared" si="0"/>
        <v>0</v>
      </c>
    </row>
    <row r="25" spans="1:5" ht="23.25" customHeight="1">
      <c r="A25" s="76" t="s">
        <v>91</v>
      </c>
      <c r="B25" s="77"/>
      <c r="C25" s="77"/>
      <c r="D25" s="45" t="b">
        <v>0</v>
      </c>
      <c r="E25">
        <f t="shared" si="0"/>
        <v>0</v>
      </c>
    </row>
    <row r="26" spans="1:5" ht="23.25" customHeight="1">
      <c r="A26" s="76" t="s">
        <v>92</v>
      </c>
      <c r="B26" s="77"/>
      <c r="C26" s="77"/>
      <c r="D26" s="45" t="b">
        <v>0</v>
      </c>
      <c r="E26">
        <f t="shared" si="0"/>
        <v>0</v>
      </c>
    </row>
    <row r="27" spans="1:5" ht="23.25" customHeight="1">
      <c r="A27" s="76" t="s">
        <v>93</v>
      </c>
      <c r="B27" s="77"/>
      <c r="C27" s="77"/>
      <c r="D27" s="45" t="b">
        <v>0</v>
      </c>
      <c r="E27">
        <f t="shared" si="0"/>
        <v>0</v>
      </c>
    </row>
    <row r="28" spans="1:5" ht="23.25" customHeight="1">
      <c r="A28" s="76" t="s">
        <v>94</v>
      </c>
      <c r="B28" s="77"/>
      <c r="C28" s="77"/>
      <c r="D28" s="45" t="b">
        <v>0</v>
      </c>
      <c r="E28">
        <f t="shared" si="0"/>
        <v>0</v>
      </c>
    </row>
    <row r="29" spans="1:5" ht="23.25" customHeight="1">
      <c r="A29" s="76" t="s">
        <v>95</v>
      </c>
      <c r="B29" s="77"/>
      <c r="C29" s="77"/>
      <c r="D29" s="45" t="b">
        <v>0</v>
      </c>
      <c r="E29">
        <f t="shared" si="0"/>
        <v>0</v>
      </c>
    </row>
    <row r="30" spans="1:5" ht="23.25" customHeight="1">
      <c r="A30" s="76" t="s">
        <v>96</v>
      </c>
      <c r="B30" s="77"/>
      <c r="C30" s="77"/>
      <c r="D30" s="45" t="b">
        <v>0</v>
      </c>
      <c r="E30">
        <f t="shared" si="0"/>
        <v>0</v>
      </c>
    </row>
    <row r="31" spans="1:5" ht="23.25" customHeight="1">
      <c r="A31" s="76" t="s">
        <v>97</v>
      </c>
      <c r="B31" s="77"/>
      <c r="C31" s="77"/>
      <c r="D31" s="45" t="b">
        <v>0</v>
      </c>
      <c r="E31">
        <f t="shared" si="0"/>
        <v>0</v>
      </c>
    </row>
    <row r="32" spans="1:5" ht="23.25" customHeight="1">
      <c r="A32" s="76" t="s">
        <v>98</v>
      </c>
      <c r="B32" s="77"/>
      <c r="C32" s="77"/>
      <c r="D32" s="45" t="b">
        <v>0</v>
      </c>
      <c r="E32">
        <f t="shared" si="0"/>
        <v>0</v>
      </c>
    </row>
    <row r="33" spans="1:5" ht="23.25" customHeight="1">
      <c r="A33" s="76" t="s">
        <v>99</v>
      </c>
      <c r="B33" s="77"/>
      <c r="C33" s="77"/>
      <c r="D33" s="45" t="b">
        <v>0</v>
      </c>
      <c r="E33">
        <f t="shared" si="0"/>
        <v>0</v>
      </c>
    </row>
    <row r="34" spans="1:5" ht="23.25" customHeight="1">
      <c r="A34" s="76" t="s">
        <v>100</v>
      </c>
      <c r="B34" s="77"/>
      <c r="C34" s="77"/>
      <c r="D34" s="45" t="b">
        <v>0</v>
      </c>
      <c r="E34">
        <f t="shared" si="0"/>
        <v>0</v>
      </c>
    </row>
    <row r="35" spans="1:5" ht="23.25" customHeight="1">
      <c r="A35" s="76" t="s">
        <v>101</v>
      </c>
      <c r="B35" s="77"/>
      <c r="C35" s="77"/>
      <c r="D35" s="45" t="b">
        <v>0</v>
      </c>
      <c r="E35">
        <f t="shared" si="0"/>
        <v>0</v>
      </c>
    </row>
    <row r="36" spans="1:5" ht="23.25" customHeight="1">
      <c r="A36" s="76" t="s">
        <v>102</v>
      </c>
      <c r="B36" s="77"/>
      <c r="C36" s="77"/>
      <c r="D36" s="45" t="b">
        <v>0</v>
      </c>
      <c r="E36">
        <f t="shared" si="0"/>
        <v>0</v>
      </c>
    </row>
    <row r="37" spans="1:5" ht="23.25" customHeight="1">
      <c r="A37" s="76" t="s">
        <v>103</v>
      </c>
      <c r="B37" s="77"/>
      <c r="C37" s="77"/>
      <c r="D37" s="45" t="b">
        <v>0</v>
      </c>
      <c r="E37">
        <f t="shared" si="0"/>
        <v>0</v>
      </c>
    </row>
    <row r="38" spans="1:5" ht="23.25" customHeight="1">
      <c r="A38" s="76" t="s">
        <v>104</v>
      </c>
      <c r="B38" s="77"/>
      <c r="C38" s="77"/>
      <c r="D38" s="45" t="b">
        <v>0</v>
      </c>
      <c r="E38">
        <f t="shared" si="0"/>
        <v>0</v>
      </c>
    </row>
    <row r="39" spans="1:5" ht="23.25" customHeight="1">
      <c r="A39" s="76" t="s">
        <v>105</v>
      </c>
      <c r="B39" s="77"/>
      <c r="C39" s="77"/>
      <c r="D39" s="45" t="b">
        <v>0</v>
      </c>
      <c r="E39">
        <f t="shared" si="0"/>
        <v>0</v>
      </c>
    </row>
    <row r="40" spans="1:5" ht="23.25" customHeight="1">
      <c r="A40" s="76" t="s">
        <v>106</v>
      </c>
      <c r="B40" s="77"/>
      <c r="C40" s="77"/>
      <c r="D40" s="45" t="b">
        <v>0</v>
      </c>
      <c r="E40">
        <f t="shared" si="0"/>
        <v>0</v>
      </c>
    </row>
    <row r="41" spans="1:5" ht="23.25" customHeight="1">
      <c r="A41" s="76" t="s">
        <v>107</v>
      </c>
      <c r="B41" s="77"/>
      <c r="C41" s="77"/>
      <c r="D41" s="45" t="b">
        <v>0</v>
      </c>
      <c r="E41">
        <f t="shared" si="0"/>
        <v>0</v>
      </c>
    </row>
    <row r="42" spans="1:5" ht="23.25" customHeight="1">
      <c r="A42" s="76" t="s">
        <v>108</v>
      </c>
      <c r="B42" s="77"/>
      <c r="C42" s="77"/>
      <c r="D42" s="45" t="b">
        <v>0</v>
      </c>
      <c r="E42">
        <f t="shared" si="0"/>
        <v>0</v>
      </c>
    </row>
    <row r="43" spans="1:5" ht="28.5" customHeight="1">
      <c r="A43" s="76" t="s">
        <v>109</v>
      </c>
      <c r="B43" s="77"/>
      <c r="C43" s="77"/>
      <c r="D43" s="45" t="b">
        <v>0</v>
      </c>
      <c r="E43">
        <f t="shared" si="0"/>
        <v>0</v>
      </c>
    </row>
    <row r="44" spans="1:5" ht="23.25" customHeight="1">
      <c r="A44" s="76" t="s">
        <v>110</v>
      </c>
      <c r="B44" s="77"/>
      <c r="C44" s="77"/>
      <c r="D44" s="45" t="b">
        <v>0</v>
      </c>
      <c r="E44">
        <f t="shared" si="0"/>
        <v>0</v>
      </c>
    </row>
    <row r="45" spans="1:5" ht="23.25" customHeight="1">
      <c r="A45" s="76" t="s">
        <v>111</v>
      </c>
      <c r="B45" s="77"/>
      <c r="C45" s="77"/>
      <c r="D45" s="45" t="b">
        <v>0</v>
      </c>
      <c r="E45">
        <f t="shared" si="0"/>
        <v>0</v>
      </c>
    </row>
    <row r="46" spans="1:5" ht="23.25" customHeight="1">
      <c r="A46" s="76" t="s">
        <v>112</v>
      </c>
      <c r="B46" s="77"/>
      <c r="C46" s="77"/>
      <c r="D46" s="45" t="b">
        <v>0</v>
      </c>
      <c r="E46">
        <f t="shared" si="0"/>
        <v>0</v>
      </c>
    </row>
    <row r="47" spans="1:5" ht="23.25" customHeight="1">
      <c r="A47" s="76" t="s">
        <v>113</v>
      </c>
      <c r="B47" s="77"/>
      <c r="C47" s="77"/>
      <c r="D47" s="45" t="b">
        <v>0</v>
      </c>
      <c r="E47">
        <f t="shared" si="0"/>
        <v>0</v>
      </c>
    </row>
    <row r="48" spans="1:5" ht="23.25" customHeight="1">
      <c r="A48" s="76" t="s">
        <v>114</v>
      </c>
      <c r="B48" s="77"/>
      <c r="C48" s="77"/>
      <c r="D48" s="45" t="b">
        <v>0</v>
      </c>
      <c r="E48">
        <f t="shared" si="0"/>
        <v>0</v>
      </c>
    </row>
    <row r="49" spans="1:5" ht="23.25" customHeight="1">
      <c r="A49" s="76" t="s">
        <v>115</v>
      </c>
      <c r="B49" s="77"/>
      <c r="C49" s="77"/>
      <c r="D49" s="45" t="b">
        <v>0</v>
      </c>
      <c r="E49">
        <f t="shared" si="0"/>
        <v>0</v>
      </c>
    </row>
    <row r="50" spans="1:5" ht="35.25" customHeight="1">
      <c r="A50" s="76" t="s">
        <v>116</v>
      </c>
      <c r="B50" s="77"/>
      <c r="C50" s="77"/>
      <c r="D50" s="45" t="b">
        <v>0</v>
      </c>
      <c r="E50">
        <f t="shared" si="0"/>
        <v>0</v>
      </c>
    </row>
    <row r="51" spans="1:5" ht="23.25" customHeight="1">
      <c r="A51" s="76" t="s">
        <v>117</v>
      </c>
      <c r="B51" s="77"/>
      <c r="C51" s="77"/>
      <c r="D51" s="45" t="b">
        <v>0</v>
      </c>
      <c r="E51">
        <f t="shared" si="0"/>
        <v>0</v>
      </c>
    </row>
    <row r="52" spans="1:5" ht="23.25" customHeight="1">
      <c r="A52" s="76" t="s">
        <v>118</v>
      </c>
      <c r="B52" s="77"/>
      <c r="C52" s="77"/>
      <c r="D52" s="45" t="b">
        <v>0</v>
      </c>
      <c r="E52">
        <f t="shared" si="0"/>
        <v>0</v>
      </c>
    </row>
    <row r="53" spans="1:5" ht="23.25" customHeight="1">
      <c r="A53" s="76" t="s">
        <v>119</v>
      </c>
      <c r="B53" s="77"/>
      <c r="C53" s="77"/>
      <c r="D53" s="45" t="b">
        <v>0</v>
      </c>
      <c r="E53">
        <f t="shared" si="0"/>
        <v>0</v>
      </c>
    </row>
    <row r="54" spans="1:5" ht="23.25" customHeight="1">
      <c r="A54" s="76" t="s">
        <v>120</v>
      </c>
      <c r="B54" s="77"/>
      <c r="C54" s="77"/>
      <c r="D54" s="45" t="b">
        <v>0</v>
      </c>
      <c r="E54">
        <f t="shared" si="0"/>
        <v>0</v>
      </c>
    </row>
    <row r="55" spans="1:5" ht="23.25" customHeight="1">
      <c r="A55" s="76" t="s">
        <v>121</v>
      </c>
      <c r="B55" s="77"/>
      <c r="C55" s="77"/>
      <c r="D55" s="45" t="b">
        <v>0</v>
      </c>
      <c r="E55">
        <f t="shared" si="0"/>
        <v>0</v>
      </c>
    </row>
    <row r="56" spans="1:5" ht="23.25" customHeight="1">
      <c r="A56" s="76" t="s">
        <v>122</v>
      </c>
      <c r="B56" s="77"/>
      <c r="C56" s="77"/>
      <c r="D56" s="45" t="b">
        <v>0</v>
      </c>
      <c r="E56">
        <f t="shared" si="0"/>
        <v>0</v>
      </c>
    </row>
    <row r="57" spans="1:5" ht="23.25" customHeight="1">
      <c r="A57" s="76" t="s">
        <v>123</v>
      </c>
      <c r="B57" s="77"/>
      <c r="C57" s="77"/>
      <c r="D57" s="45" t="b">
        <v>0</v>
      </c>
      <c r="E57">
        <f t="shared" si="0"/>
        <v>0</v>
      </c>
    </row>
    <row r="58" spans="1:5" ht="23.25" customHeight="1">
      <c r="A58" s="76" t="s">
        <v>124</v>
      </c>
      <c r="B58" s="77"/>
      <c r="C58" s="77"/>
      <c r="D58" s="45" t="b">
        <v>0</v>
      </c>
      <c r="E58">
        <f t="shared" si="0"/>
        <v>0</v>
      </c>
    </row>
    <row r="59" spans="1:5" ht="23.25" customHeight="1">
      <c r="A59" s="76" t="s">
        <v>125</v>
      </c>
      <c r="B59" s="77"/>
      <c r="C59" s="77"/>
      <c r="D59" s="45" t="b">
        <v>0</v>
      </c>
      <c r="E59">
        <f t="shared" si="0"/>
        <v>0</v>
      </c>
    </row>
    <row r="60" spans="1:5" ht="23.25" customHeight="1">
      <c r="A60" s="76" t="s">
        <v>126</v>
      </c>
      <c r="B60" s="77"/>
      <c r="C60" s="77"/>
      <c r="D60" s="45" t="b">
        <v>0</v>
      </c>
      <c r="E60">
        <f t="shared" si="0"/>
        <v>0</v>
      </c>
    </row>
    <row r="61" spans="1:5" ht="23.25" customHeight="1">
      <c r="A61" s="76" t="s">
        <v>127</v>
      </c>
      <c r="B61" s="77"/>
      <c r="C61" s="77"/>
      <c r="D61" s="45" t="b">
        <v>0</v>
      </c>
      <c r="E61">
        <f t="shared" si="0"/>
        <v>0</v>
      </c>
    </row>
    <row r="62" spans="1:5">
      <c r="E62">
        <f>SUM(E7:E61)</f>
        <v>0</v>
      </c>
    </row>
  </sheetData>
  <sheetProtection sheet="1" objects="1" scenarios="1" selectLockedCells="1"/>
  <mergeCells count="60">
    <mergeCell ref="A13:C13"/>
    <mergeCell ref="A1:B1"/>
    <mergeCell ref="A3:B3"/>
    <mergeCell ref="A4:B4"/>
    <mergeCell ref="A6:D6"/>
    <mergeCell ref="A7:C7"/>
    <mergeCell ref="A2:D2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7:C37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9:C49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61:C61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</mergeCells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7"/>
  <dimension ref="A1:E62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2.5" customHeight="1">
      <c r="A6" s="78" t="s">
        <v>395</v>
      </c>
      <c r="B6" s="78"/>
      <c r="C6" s="78"/>
      <c r="D6" s="78"/>
    </row>
    <row r="7" spans="1:5" ht="30" customHeight="1">
      <c r="A7" s="76" t="s">
        <v>73</v>
      </c>
      <c r="B7" s="77"/>
      <c r="C7" s="77"/>
      <c r="D7" s="45" t="b">
        <v>0</v>
      </c>
      <c r="E7">
        <f>IF(LEN(D7)&gt;4,1,0)</f>
        <v>0</v>
      </c>
    </row>
    <row r="8" spans="1:5" ht="23.25" customHeight="1">
      <c r="A8" s="76" t="s">
        <v>74</v>
      </c>
      <c r="B8" s="77"/>
      <c r="C8" s="77"/>
      <c r="D8" s="45" t="b">
        <v>0</v>
      </c>
      <c r="E8">
        <f t="shared" ref="E8:E61" si="0">IF(LEN(D8)&gt;4,1,0)</f>
        <v>0</v>
      </c>
    </row>
    <row r="9" spans="1:5" ht="23.25" customHeight="1">
      <c r="A9" s="76" t="s">
        <v>75</v>
      </c>
      <c r="B9" s="77"/>
      <c r="C9" s="77"/>
      <c r="D9" s="45" t="b">
        <v>0</v>
      </c>
      <c r="E9">
        <f t="shared" si="0"/>
        <v>0</v>
      </c>
    </row>
    <row r="10" spans="1:5" ht="23.25" customHeight="1">
      <c r="A10" s="76" t="s">
        <v>76</v>
      </c>
      <c r="B10" s="77"/>
      <c r="C10" s="77"/>
      <c r="D10" s="45" t="b">
        <v>0</v>
      </c>
      <c r="E10">
        <f t="shared" si="0"/>
        <v>0</v>
      </c>
    </row>
    <row r="11" spans="1:5" ht="23.25" customHeight="1">
      <c r="A11" s="76" t="s">
        <v>77</v>
      </c>
      <c r="B11" s="77"/>
      <c r="C11" s="77"/>
      <c r="D11" s="45" t="b">
        <v>0</v>
      </c>
      <c r="E11">
        <f t="shared" si="0"/>
        <v>0</v>
      </c>
    </row>
    <row r="12" spans="1:5" ht="23.25" customHeight="1">
      <c r="A12" s="76" t="s">
        <v>78</v>
      </c>
      <c r="B12" s="77"/>
      <c r="C12" s="77"/>
      <c r="D12" s="45" t="b">
        <v>0</v>
      </c>
      <c r="E12">
        <f t="shared" si="0"/>
        <v>0</v>
      </c>
    </row>
    <row r="13" spans="1:5" ht="23.25" customHeight="1">
      <c r="A13" s="76" t="s">
        <v>79</v>
      </c>
      <c r="B13" s="77"/>
      <c r="C13" s="77"/>
      <c r="D13" s="45" t="b">
        <v>0</v>
      </c>
      <c r="E13">
        <f t="shared" si="0"/>
        <v>0</v>
      </c>
    </row>
    <row r="14" spans="1:5" ht="23.25" customHeight="1">
      <c r="A14" s="76" t="s">
        <v>80</v>
      </c>
      <c r="B14" s="77"/>
      <c r="C14" s="77"/>
      <c r="D14" s="45" t="b">
        <v>0</v>
      </c>
      <c r="E14">
        <f t="shared" si="0"/>
        <v>0</v>
      </c>
    </row>
    <row r="15" spans="1:5" ht="23.25" customHeight="1">
      <c r="A15" s="76" t="s">
        <v>81</v>
      </c>
      <c r="B15" s="77"/>
      <c r="C15" s="77"/>
      <c r="D15" s="45" t="b">
        <v>0</v>
      </c>
      <c r="E15">
        <f t="shared" si="0"/>
        <v>0</v>
      </c>
    </row>
    <row r="16" spans="1:5" ht="23.25" customHeight="1">
      <c r="A16" s="76" t="s">
        <v>82</v>
      </c>
      <c r="B16" s="77"/>
      <c r="C16" s="77"/>
      <c r="D16" s="45" t="b">
        <v>0</v>
      </c>
      <c r="E16">
        <f t="shared" si="0"/>
        <v>0</v>
      </c>
    </row>
    <row r="17" spans="1:5" ht="23.25" customHeight="1">
      <c r="A17" s="76" t="s">
        <v>83</v>
      </c>
      <c r="B17" s="77"/>
      <c r="C17" s="77"/>
      <c r="D17" s="45" t="b">
        <v>0</v>
      </c>
      <c r="E17">
        <f t="shared" si="0"/>
        <v>0</v>
      </c>
    </row>
    <row r="18" spans="1:5" ht="23.25" customHeight="1">
      <c r="A18" s="76" t="s">
        <v>84</v>
      </c>
      <c r="B18" s="77"/>
      <c r="C18" s="77"/>
      <c r="D18" s="45" t="b">
        <v>0</v>
      </c>
      <c r="E18">
        <f t="shared" si="0"/>
        <v>0</v>
      </c>
    </row>
    <row r="19" spans="1:5" ht="23.25" customHeight="1">
      <c r="A19" s="76" t="s">
        <v>85</v>
      </c>
      <c r="B19" s="77"/>
      <c r="C19" s="77"/>
      <c r="D19" s="45" t="b">
        <v>0</v>
      </c>
      <c r="E19">
        <f t="shared" si="0"/>
        <v>0</v>
      </c>
    </row>
    <row r="20" spans="1:5" ht="23.25" customHeight="1">
      <c r="A20" s="76" t="s">
        <v>86</v>
      </c>
      <c r="B20" s="77"/>
      <c r="C20" s="77"/>
      <c r="D20" s="45" t="b">
        <v>0</v>
      </c>
      <c r="E20">
        <f t="shared" si="0"/>
        <v>0</v>
      </c>
    </row>
    <row r="21" spans="1:5" ht="23.25" customHeight="1">
      <c r="A21" s="76" t="s">
        <v>87</v>
      </c>
      <c r="B21" s="77"/>
      <c r="C21" s="77"/>
      <c r="D21" s="45" t="b">
        <v>0</v>
      </c>
      <c r="E21">
        <f t="shared" si="0"/>
        <v>0</v>
      </c>
    </row>
    <row r="22" spans="1:5" ht="23.25" customHeight="1">
      <c r="A22" s="76" t="s">
        <v>88</v>
      </c>
      <c r="B22" s="77"/>
      <c r="C22" s="77"/>
      <c r="D22" s="45" t="b">
        <v>0</v>
      </c>
      <c r="E22">
        <f t="shared" si="0"/>
        <v>0</v>
      </c>
    </row>
    <row r="23" spans="1:5" ht="33" customHeight="1">
      <c r="A23" s="76" t="s">
        <v>89</v>
      </c>
      <c r="B23" s="77"/>
      <c r="C23" s="77"/>
      <c r="D23" s="45" t="b">
        <v>0</v>
      </c>
      <c r="E23">
        <f t="shared" si="0"/>
        <v>0</v>
      </c>
    </row>
    <row r="24" spans="1:5" ht="30.75" customHeight="1">
      <c r="A24" s="76" t="s">
        <v>90</v>
      </c>
      <c r="B24" s="77"/>
      <c r="C24" s="77"/>
      <c r="D24" s="45" t="b">
        <v>0</v>
      </c>
      <c r="E24">
        <f t="shared" si="0"/>
        <v>0</v>
      </c>
    </row>
    <row r="25" spans="1:5" ht="23.25" customHeight="1">
      <c r="A25" s="76" t="s">
        <v>91</v>
      </c>
      <c r="B25" s="77"/>
      <c r="C25" s="77"/>
      <c r="D25" s="45" t="b">
        <v>0</v>
      </c>
      <c r="E25">
        <f t="shared" si="0"/>
        <v>0</v>
      </c>
    </row>
    <row r="26" spans="1:5" ht="23.25" customHeight="1">
      <c r="A26" s="76" t="s">
        <v>92</v>
      </c>
      <c r="B26" s="77"/>
      <c r="C26" s="77"/>
      <c r="D26" s="45" t="b">
        <v>0</v>
      </c>
      <c r="E26">
        <f t="shared" si="0"/>
        <v>0</v>
      </c>
    </row>
    <row r="27" spans="1:5" ht="23.25" customHeight="1">
      <c r="A27" s="76" t="s">
        <v>93</v>
      </c>
      <c r="B27" s="77"/>
      <c r="C27" s="77"/>
      <c r="D27" s="45" t="b">
        <v>0</v>
      </c>
      <c r="E27">
        <f t="shared" si="0"/>
        <v>0</v>
      </c>
    </row>
    <row r="28" spans="1:5" ht="23.25" customHeight="1">
      <c r="A28" s="76" t="s">
        <v>94</v>
      </c>
      <c r="B28" s="77"/>
      <c r="C28" s="77"/>
      <c r="D28" s="45" t="b">
        <v>0</v>
      </c>
      <c r="E28">
        <f t="shared" si="0"/>
        <v>0</v>
      </c>
    </row>
    <row r="29" spans="1:5" ht="23.25" customHeight="1">
      <c r="A29" s="76" t="s">
        <v>95</v>
      </c>
      <c r="B29" s="77"/>
      <c r="C29" s="77"/>
      <c r="D29" s="45" t="b">
        <v>0</v>
      </c>
      <c r="E29">
        <f t="shared" si="0"/>
        <v>0</v>
      </c>
    </row>
    <row r="30" spans="1:5" ht="23.25" customHeight="1">
      <c r="A30" s="76" t="s">
        <v>96</v>
      </c>
      <c r="B30" s="77"/>
      <c r="C30" s="77"/>
      <c r="D30" s="45" t="b">
        <v>0</v>
      </c>
      <c r="E30">
        <f t="shared" si="0"/>
        <v>0</v>
      </c>
    </row>
    <row r="31" spans="1:5" ht="23.25" customHeight="1">
      <c r="A31" s="76" t="s">
        <v>97</v>
      </c>
      <c r="B31" s="77"/>
      <c r="C31" s="77"/>
      <c r="D31" s="45" t="b">
        <v>0</v>
      </c>
      <c r="E31">
        <f t="shared" si="0"/>
        <v>0</v>
      </c>
    </row>
    <row r="32" spans="1:5" ht="23.25" customHeight="1">
      <c r="A32" s="76" t="s">
        <v>98</v>
      </c>
      <c r="B32" s="77"/>
      <c r="C32" s="77"/>
      <c r="D32" s="45" t="b">
        <v>0</v>
      </c>
      <c r="E32">
        <f t="shared" si="0"/>
        <v>0</v>
      </c>
    </row>
    <row r="33" spans="1:5" ht="23.25" customHeight="1">
      <c r="A33" s="76" t="s">
        <v>99</v>
      </c>
      <c r="B33" s="77"/>
      <c r="C33" s="77"/>
      <c r="D33" s="45" t="b">
        <v>0</v>
      </c>
      <c r="E33">
        <f t="shared" si="0"/>
        <v>0</v>
      </c>
    </row>
    <row r="34" spans="1:5" ht="23.25" customHeight="1">
      <c r="A34" s="76" t="s">
        <v>100</v>
      </c>
      <c r="B34" s="77"/>
      <c r="C34" s="77"/>
      <c r="D34" s="45" t="b">
        <v>0</v>
      </c>
      <c r="E34">
        <f t="shared" si="0"/>
        <v>0</v>
      </c>
    </row>
    <row r="35" spans="1:5" ht="23.25" customHeight="1">
      <c r="A35" s="76" t="s">
        <v>101</v>
      </c>
      <c r="B35" s="77"/>
      <c r="C35" s="77"/>
      <c r="D35" s="45" t="b">
        <v>0</v>
      </c>
      <c r="E35">
        <f t="shared" si="0"/>
        <v>0</v>
      </c>
    </row>
    <row r="36" spans="1:5" ht="23.25" customHeight="1">
      <c r="A36" s="76" t="s">
        <v>102</v>
      </c>
      <c r="B36" s="77"/>
      <c r="C36" s="77"/>
      <c r="D36" s="45" t="b">
        <v>0</v>
      </c>
      <c r="E36">
        <f t="shared" si="0"/>
        <v>0</v>
      </c>
    </row>
    <row r="37" spans="1:5" ht="23.25" customHeight="1">
      <c r="A37" s="76" t="s">
        <v>103</v>
      </c>
      <c r="B37" s="77"/>
      <c r="C37" s="77"/>
      <c r="D37" s="45" t="b">
        <v>0</v>
      </c>
      <c r="E37">
        <f t="shared" si="0"/>
        <v>0</v>
      </c>
    </row>
    <row r="38" spans="1:5" ht="23.25" customHeight="1">
      <c r="A38" s="76" t="s">
        <v>104</v>
      </c>
      <c r="B38" s="77"/>
      <c r="C38" s="77"/>
      <c r="D38" s="45" t="b">
        <v>0</v>
      </c>
      <c r="E38">
        <f t="shared" si="0"/>
        <v>0</v>
      </c>
    </row>
    <row r="39" spans="1:5" ht="23.25" customHeight="1">
      <c r="A39" s="76" t="s">
        <v>105</v>
      </c>
      <c r="B39" s="77"/>
      <c r="C39" s="77"/>
      <c r="D39" s="45" t="b">
        <v>0</v>
      </c>
      <c r="E39">
        <f t="shared" si="0"/>
        <v>0</v>
      </c>
    </row>
    <row r="40" spans="1:5" ht="23.25" customHeight="1">
      <c r="A40" s="76" t="s">
        <v>106</v>
      </c>
      <c r="B40" s="77"/>
      <c r="C40" s="77"/>
      <c r="D40" s="45" t="b">
        <v>0</v>
      </c>
      <c r="E40">
        <f t="shared" si="0"/>
        <v>0</v>
      </c>
    </row>
    <row r="41" spans="1:5" ht="23.25" customHeight="1">
      <c r="A41" s="76" t="s">
        <v>107</v>
      </c>
      <c r="B41" s="77"/>
      <c r="C41" s="77"/>
      <c r="D41" s="45" t="b">
        <v>0</v>
      </c>
      <c r="E41">
        <f t="shared" si="0"/>
        <v>0</v>
      </c>
    </row>
    <row r="42" spans="1:5" ht="23.25" customHeight="1">
      <c r="A42" s="76" t="s">
        <v>108</v>
      </c>
      <c r="B42" s="77"/>
      <c r="C42" s="77"/>
      <c r="D42" s="45" t="b">
        <v>0</v>
      </c>
      <c r="E42">
        <f t="shared" si="0"/>
        <v>0</v>
      </c>
    </row>
    <row r="43" spans="1:5" ht="28.5" customHeight="1">
      <c r="A43" s="76" t="s">
        <v>109</v>
      </c>
      <c r="B43" s="77"/>
      <c r="C43" s="77"/>
      <c r="D43" s="45" t="b">
        <v>0</v>
      </c>
      <c r="E43">
        <f t="shared" si="0"/>
        <v>0</v>
      </c>
    </row>
    <row r="44" spans="1:5" ht="23.25" customHeight="1">
      <c r="A44" s="76" t="s">
        <v>110</v>
      </c>
      <c r="B44" s="77"/>
      <c r="C44" s="77"/>
      <c r="D44" s="45" t="b">
        <v>0</v>
      </c>
      <c r="E44">
        <f t="shared" si="0"/>
        <v>0</v>
      </c>
    </row>
    <row r="45" spans="1:5" ht="23.25" customHeight="1">
      <c r="A45" s="76" t="s">
        <v>111</v>
      </c>
      <c r="B45" s="77"/>
      <c r="C45" s="77"/>
      <c r="D45" s="45" t="b">
        <v>0</v>
      </c>
      <c r="E45">
        <f t="shared" si="0"/>
        <v>0</v>
      </c>
    </row>
    <row r="46" spans="1:5" ht="23.25" customHeight="1">
      <c r="A46" s="76" t="s">
        <v>112</v>
      </c>
      <c r="B46" s="77"/>
      <c r="C46" s="77"/>
      <c r="D46" s="45" t="b">
        <v>0</v>
      </c>
      <c r="E46">
        <f t="shared" si="0"/>
        <v>0</v>
      </c>
    </row>
    <row r="47" spans="1:5" ht="23.25" customHeight="1">
      <c r="A47" s="76" t="s">
        <v>113</v>
      </c>
      <c r="B47" s="77"/>
      <c r="C47" s="77"/>
      <c r="D47" s="45" t="b">
        <v>0</v>
      </c>
      <c r="E47">
        <f t="shared" si="0"/>
        <v>0</v>
      </c>
    </row>
    <row r="48" spans="1:5" ht="23.25" customHeight="1">
      <c r="A48" s="76" t="s">
        <v>114</v>
      </c>
      <c r="B48" s="77"/>
      <c r="C48" s="77"/>
      <c r="D48" s="45" t="b">
        <v>0</v>
      </c>
      <c r="E48">
        <f t="shared" si="0"/>
        <v>0</v>
      </c>
    </row>
    <row r="49" spans="1:5" ht="23.25" customHeight="1">
      <c r="A49" s="76" t="s">
        <v>115</v>
      </c>
      <c r="B49" s="77"/>
      <c r="C49" s="77"/>
      <c r="D49" s="45" t="b">
        <v>0</v>
      </c>
      <c r="E49">
        <f t="shared" si="0"/>
        <v>0</v>
      </c>
    </row>
    <row r="50" spans="1:5" ht="35.25" customHeight="1">
      <c r="A50" s="76" t="s">
        <v>116</v>
      </c>
      <c r="B50" s="77"/>
      <c r="C50" s="77"/>
      <c r="D50" s="45" t="b">
        <v>0</v>
      </c>
      <c r="E50">
        <f t="shared" si="0"/>
        <v>0</v>
      </c>
    </row>
    <row r="51" spans="1:5" ht="23.25" customHeight="1">
      <c r="A51" s="76" t="s">
        <v>117</v>
      </c>
      <c r="B51" s="77"/>
      <c r="C51" s="77"/>
      <c r="D51" s="45" t="b">
        <v>0</v>
      </c>
      <c r="E51">
        <f t="shared" si="0"/>
        <v>0</v>
      </c>
    </row>
    <row r="52" spans="1:5" ht="23.25" customHeight="1">
      <c r="A52" s="76" t="s">
        <v>118</v>
      </c>
      <c r="B52" s="77"/>
      <c r="C52" s="77"/>
      <c r="D52" s="45" t="b">
        <v>0</v>
      </c>
      <c r="E52">
        <f t="shared" si="0"/>
        <v>0</v>
      </c>
    </row>
    <row r="53" spans="1:5" ht="23.25" customHeight="1">
      <c r="A53" s="76" t="s">
        <v>119</v>
      </c>
      <c r="B53" s="77"/>
      <c r="C53" s="77"/>
      <c r="D53" s="45" t="b">
        <v>0</v>
      </c>
      <c r="E53">
        <f t="shared" si="0"/>
        <v>0</v>
      </c>
    </row>
    <row r="54" spans="1:5" ht="23.25" customHeight="1">
      <c r="A54" s="76" t="s">
        <v>120</v>
      </c>
      <c r="B54" s="77"/>
      <c r="C54" s="77"/>
      <c r="D54" s="45" t="b">
        <v>0</v>
      </c>
      <c r="E54">
        <f t="shared" si="0"/>
        <v>0</v>
      </c>
    </row>
    <row r="55" spans="1:5" ht="23.25" customHeight="1">
      <c r="A55" s="76" t="s">
        <v>121</v>
      </c>
      <c r="B55" s="77"/>
      <c r="C55" s="77"/>
      <c r="D55" s="45" t="b">
        <v>0</v>
      </c>
      <c r="E55">
        <f t="shared" si="0"/>
        <v>0</v>
      </c>
    </row>
    <row r="56" spans="1:5" ht="23.25" customHeight="1">
      <c r="A56" s="76" t="s">
        <v>122</v>
      </c>
      <c r="B56" s="77"/>
      <c r="C56" s="77"/>
      <c r="D56" s="45" t="b">
        <v>0</v>
      </c>
      <c r="E56">
        <f t="shared" si="0"/>
        <v>0</v>
      </c>
    </row>
    <row r="57" spans="1:5" ht="23.25" customHeight="1">
      <c r="A57" s="76" t="s">
        <v>123</v>
      </c>
      <c r="B57" s="77"/>
      <c r="C57" s="77"/>
      <c r="D57" s="45" t="b">
        <v>0</v>
      </c>
      <c r="E57">
        <f t="shared" si="0"/>
        <v>0</v>
      </c>
    </row>
    <row r="58" spans="1:5" ht="23.25" customHeight="1">
      <c r="A58" s="76" t="s">
        <v>124</v>
      </c>
      <c r="B58" s="77"/>
      <c r="C58" s="77"/>
      <c r="D58" s="45" t="b">
        <v>0</v>
      </c>
      <c r="E58">
        <f t="shared" si="0"/>
        <v>0</v>
      </c>
    </row>
    <row r="59" spans="1:5" ht="23.25" customHeight="1">
      <c r="A59" s="76" t="s">
        <v>125</v>
      </c>
      <c r="B59" s="77"/>
      <c r="C59" s="77"/>
      <c r="D59" s="45" t="b">
        <v>0</v>
      </c>
      <c r="E59">
        <f t="shared" si="0"/>
        <v>0</v>
      </c>
    </row>
    <row r="60" spans="1:5" ht="23.25" customHeight="1">
      <c r="A60" s="76" t="s">
        <v>126</v>
      </c>
      <c r="B60" s="77"/>
      <c r="C60" s="77"/>
      <c r="D60" s="45" t="b">
        <v>0</v>
      </c>
      <c r="E60">
        <f t="shared" si="0"/>
        <v>0</v>
      </c>
    </row>
    <row r="61" spans="1:5" ht="23.25" customHeight="1">
      <c r="A61" s="76" t="s">
        <v>127</v>
      </c>
      <c r="B61" s="77"/>
      <c r="C61" s="77"/>
      <c r="D61" s="45" t="b">
        <v>0</v>
      </c>
      <c r="E61">
        <f t="shared" si="0"/>
        <v>0</v>
      </c>
    </row>
    <row r="62" spans="1:5">
      <c r="E62">
        <f>SUM(E7:E61)</f>
        <v>0</v>
      </c>
    </row>
  </sheetData>
  <sheetProtection sheet="1" objects="1" scenarios="1" selectLockedCells="1"/>
  <mergeCells count="60">
    <mergeCell ref="A13:C13"/>
    <mergeCell ref="A1:B1"/>
    <mergeCell ref="A3:B3"/>
    <mergeCell ref="A4:B4"/>
    <mergeCell ref="A6:D6"/>
    <mergeCell ref="A7:C7"/>
    <mergeCell ref="A2:D2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7:C37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9:C49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61:C61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</mergeCells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8"/>
  <dimension ref="A1:E6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s="1" customFormat="1" ht="30" customHeight="1">
      <c r="A7" s="79" t="s">
        <v>174</v>
      </c>
      <c r="B7" s="79"/>
      <c r="C7" s="79"/>
      <c r="D7" s="46" t="b">
        <v>0</v>
      </c>
      <c r="E7" s="1">
        <f>IF(LEN(D7)&gt;4,1,0)</f>
        <v>0</v>
      </c>
    </row>
    <row r="8" spans="1:5" s="1" customFormat="1" ht="30" customHeight="1">
      <c r="A8" s="79" t="s">
        <v>175</v>
      </c>
      <c r="B8" s="79"/>
      <c r="C8" s="79"/>
      <c r="D8" s="46" t="b">
        <v>0</v>
      </c>
      <c r="E8" s="1">
        <f t="shared" ref="E8:E60" si="0">IF(LEN(D8)&gt;4,1,0)</f>
        <v>0</v>
      </c>
    </row>
    <row r="9" spans="1:5" s="1" customFormat="1" ht="30" customHeight="1">
      <c r="A9" s="79" t="s">
        <v>176</v>
      </c>
      <c r="B9" s="79"/>
      <c r="C9" s="79"/>
      <c r="D9" s="46" t="b">
        <v>0</v>
      </c>
      <c r="E9" s="1">
        <f t="shared" si="0"/>
        <v>0</v>
      </c>
    </row>
    <row r="10" spans="1:5" s="1" customFormat="1" ht="30" customHeight="1">
      <c r="A10" s="79" t="s">
        <v>177</v>
      </c>
      <c r="B10" s="79"/>
      <c r="C10" s="79"/>
      <c r="D10" s="46" t="b">
        <v>0</v>
      </c>
      <c r="E10" s="1">
        <f t="shared" si="0"/>
        <v>0</v>
      </c>
    </row>
    <row r="11" spans="1:5" s="1" customFormat="1" ht="30" customHeight="1">
      <c r="A11" s="79" t="s">
        <v>178</v>
      </c>
      <c r="B11" s="79"/>
      <c r="C11" s="79"/>
      <c r="D11" s="46" t="b">
        <v>0</v>
      </c>
      <c r="E11" s="1">
        <f t="shared" si="0"/>
        <v>0</v>
      </c>
    </row>
    <row r="12" spans="1:5" s="1" customFormat="1" ht="30" customHeight="1">
      <c r="A12" s="79" t="s">
        <v>179</v>
      </c>
      <c r="B12" s="79"/>
      <c r="C12" s="79"/>
      <c r="D12" s="46" t="b">
        <v>0</v>
      </c>
      <c r="E12" s="1">
        <f t="shared" si="0"/>
        <v>0</v>
      </c>
    </row>
    <row r="13" spans="1:5" s="1" customFormat="1" ht="30" customHeight="1">
      <c r="A13" s="79" t="s">
        <v>180</v>
      </c>
      <c r="B13" s="79"/>
      <c r="C13" s="79"/>
      <c r="D13" s="46" t="b">
        <v>0</v>
      </c>
      <c r="E13" s="1">
        <f t="shared" si="0"/>
        <v>0</v>
      </c>
    </row>
    <row r="14" spans="1:5" s="1" customFormat="1" ht="30" customHeight="1">
      <c r="A14" s="79" t="s">
        <v>181</v>
      </c>
      <c r="B14" s="79"/>
      <c r="C14" s="79"/>
      <c r="D14" s="46" t="b">
        <v>0</v>
      </c>
      <c r="E14" s="1">
        <f t="shared" si="0"/>
        <v>0</v>
      </c>
    </row>
    <row r="15" spans="1:5" s="1" customFormat="1" ht="30" customHeight="1">
      <c r="A15" s="79" t="s">
        <v>85</v>
      </c>
      <c r="B15" s="79"/>
      <c r="C15" s="79"/>
      <c r="D15" s="46" t="b">
        <v>0</v>
      </c>
      <c r="E15" s="1">
        <f t="shared" si="0"/>
        <v>0</v>
      </c>
    </row>
    <row r="16" spans="1:5" s="1" customFormat="1" ht="30" customHeight="1">
      <c r="A16" s="79" t="s">
        <v>87</v>
      </c>
      <c r="B16" s="79"/>
      <c r="C16" s="79"/>
      <c r="D16" s="46" t="b">
        <v>0</v>
      </c>
      <c r="E16" s="1">
        <f t="shared" si="0"/>
        <v>0</v>
      </c>
    </row>
    <row r="17" spans="1:5" s="1" customFormat="1" ht="30" customHeight="1">
      <c r="A17" s="79" t="s">
        <v>182</v>
      </c>
      <c r="B17" s="79"/>
      <c r="C17" s="79"/>
      <c r="D17" s="46" t="b">
        <v>0</v>
      </c>
      <c r="E17" s="1">
        <f t="shared" si="0"/>
        <v>0</v>
      </c>
    </row>
    <row r="18" spans="1:5" s="1" customFormat="1" ht="30" customHeight="1">
      <c r="A18" s="79" t="s">
        <v>183</v>
      </c>
      <c r="B18" s="79"/>
      <c r="C18" s="79"/>
      <c r="D18" s="46" t="b">
        <v>0</v>
      </c>
      <c r="E18" s="1">
        <f t="shared" si="0"/>
        <v>0</v>
      </c>
    </row>
    <row r="19" spans="1:5" s="1" customFormat="1" ht="30" customHeight="1">
      <c r="A19" s="79" t="s">
        <v>184</v>
      </c>
      <c r="B19" s="79"/>
      <c r="C19" s="79"/>
      <c r="D19" s="46" t="b">
        <v>0</v>
      </c>
      <c r="E19" s="1">
        <f t="shared" si="0"/>
        <v>0</v>
      </c>
    </row>
    <row r="20" spans="1:5" s="1" customFormat="1" ht="30" customHeight="1">
      <c r="A20" s="79" t="s">
        <v>185</v>
      </c>
      <c r="B20" s="79"/>
      <c r="C20" s="79"/>
      <c r="D20" s="46" t="b">
        <v>0</v>
      </c>
      <c r="E20" s="1">
        <f t="shared" si="0"/>
        <v>0</v>
      </c>
    </row>
    <row r="21" spans="1:5" s="1" customFormat="1" ht="30" customHeight="1">
      <c r="A21" s="79" t="s">
        <v>186</v>
      </c>
      <c r="B21" s="79"/>
      <c r="C21" s="79"/>
      <c r="D21" s="46" t="b">
        <v>0</v>
      </c>
      <c r="E21" s="1">
        <f t="shared" si="0"/>
        <v>0</v>
      </c>
    </row>
    <row r="22" spans="1:5" s="1" customFormat="1" ht="30" customHeight="1">
      <c r="A22" s="79" t="s">
        <v>187</v>
      </c>
      <c r="B22" s="79"/>
      <c r="C22" s="79"/>
      <c r="D22" s="46" t="b">
        <v>0</v>
      </c>
      <c r="E22" s="1">
        <f t="shared" si="0"/>
        <v>0</v>
      </c>
    </row>
    <row r="23" spans="1:5" s="1" customFormat="1" ht="30" customHeight="1">
      <c r="A23" s="79" t="s">
        <v>188</v>
      </c>
      <c r="B23" s="79"/>
      <c r="C23" s="79"/>
      <c r="D23" s="46" t="b">
        <v>0</v>
      </c>
      <c r="E23" s="1">
        <f t="shared" si="0"/>
        <v>0</v>
      </c>
    </row>
    <row r="24" spans="1:5" s="1" customFormat="1" ht="30" customHeight="1">
      <c r="A24" s="79" t="s">
        <v>189</v>
      </c>
      <c r="B24" s="79"/>
      <c r="C24" s="79"/>
      <c r="D24" s="46" t="b">
        <v>0</v>
      </c>
      <c r="E24" s="1">
        <f t="shared" si="0"/>
        <v>0</v>
      </c>
    </row>
    <row r="25" spans="1:5" s="1" customFormat="1" ht="30" customHeight="1">
      <c r="A25" s="79" t="s">
        <v>190</v>
      </c>
      <c r="B25" s="79"/>
      <c r="C25" s="79"/>
      <c r="D25" s="46" t="b">
        <v>0</v>
      </c>
      <c r="E25" s="1">
        <f t="shared" si="0"/>
        <v>0</v>
      </c>
    </row>
    <row r="26" spans="1:5" s="1" customFormat="1" ht="30" customHeight="1">
      <c r="A26" s="79" t="s">
        <v>191</v>
      </c>
      <c r="B26" s="79"/>
      <c r="C26" s="79"/>
      <c r="D26" s="46" t="b">
        <v>0</v>
      </c>
      <c r="E26" s="1">
        <f t="shared" si="0"/>
        <v>0</v>
      </c>
    </row>
    <row r="27" spans="1:5" s="1" customFormat="1" ht="30" customHeight="1">
      <c r="A27" s="79" t="s">
        <v>192</v>
      </c>
      <c r="B27" s="79"/>
      <c r="C27" s="79"/>
      <c r="D27" s="46" t="b">
        <v>0</v>
      </c>
      <c r="E27" s="1">
        <f t="shared" si="0"/>
        <v>0</v>
      </c>
    </row>
    <row r="28" spans="1:5" s="1" customFormat="1" ht="30" customHeight="1">
      <c r="A28" s="79" t="s">
        <v>101</v>
      </c>
      <c r="B28" s="79"/>
      <c r="C28" s="79"/>
      <c r="D28" s="46" t="b">
        <v>0</v>
      </c>
      <c r="E28" s="1">
        <f t="shared" si="0"/>
        <v>0</v>
      </c>
    </row>
    <row r="29" spans="1:5" s="1" customFormat="1" ht="30" customHeight="1">
      <c r="A29" s="79" t="s">
        <v>193</v>
      </c>
      <c r="B29" s="79"/>
      <c r="C29" s="79"/>
      <c r="D29" s="46" t="b">
        <v>0</v>
      </c>
      <c r="E29" s="1">
        <f t="shared" si="0"/>
        <v>0</v>
      </c>
    </row>
    <row r="30" spans="1:5" s="1" customFormat="1" ht="30" customHeight="1">
      <c r="A30" s="79" t="s">
        <v>194</v>
      </c>
      <c r="B30" s="79"/>
      <c r="C30" s="79"/>
      <c r="D30" s="46" t="b">
        <v>0</v>
      </c>
      <c r="E30" s="1">
        <f t="shared" si="0"/>
        <v>0</v>
      </c>
    </row>
    <row r="31" spans="1:5" s="1" customFormat="1" ht="30" customHeight="1">
      <c r="A31" s="79" t="s">
        <v>195</v>
      </c>
      <c r="B31" s="79"/>
      <c r="C31" s="79"/>
      <c r="D31" s="46" t="b">
        <v>0</v>
      </c>
      <c r="E31" s="1">
        <f t="shared" si="0"/>
        <v>0</v>
      </c>
    </row>
    <row r="32" spans="1:5" s="1" customFormat="1" ht="30" customHeight="1">
      <c r="A32" s="79" t="s">
        <v>196</v>
      </c>
      <c r="B32" s="79"/>
      <c r="C32" s="79"/>
      <c r="D32" s="46" t="b">
        <v>0</v>
      </c>
      <c r="E32" s="1">
        <f t="shared" si="0"/>
        <v>0</v>
      </c>
    </row>
    <row r="33" spans="1:5" s="1" customFormat="1" ht="30" customHeight="1">
      <c r="A33" s="79" t="s">
        <v>197</v>
      </c>
      <c r="B33" s="79"/>
      <c r="C33" s="79"/>
      <c r="D33" s="46" t="b">
        <v>0</v>
      </c>
      <c r="E33" s="1">
        <f t="shared" si="0"/>
        <v>0</v>
      </c>
    </row>
    <row r="34" spans="1:5" s="1" customFormat="1" ht="30" customHeight="1">
      <c r="A34" s="79" t="s">
        <v>198</v>
      </c>
      <c r="B34" s="79"/>
      <c r="C34" s="79"/>
      <c r="D34" s="46" t="b">
        <v>0</v>
      </c>
      <c r="E34" s="1">
        <f t="shared" si="0"/>
        <v>0</v>
      </c>
    </row>
    <row r="35" spans="1:5" s="1" customFormat="1" ht="30" customHeight="1">
      <c r="A35" s="79" t="s">
        <v>199</v>
      </c>
      <c r="B35" s="79"/>
      <c r="C35" s="79"/>
      <c r="D35" s="46" t="b">
        <v>0</v>
      </c>
      <c r="E35" s="1">
        <f t="shared" si="0"/>
        <v>0</v>
      </c>
    </row>
    <row r="36" spans="1:5" s="1" customFormat="1" ht="30" customHeight="1">
      <c r="A36" s="79" t="s">
        <v>200</v>
      </c>
      <c r="B36" s="79"/>
      <c r="C36" s="79"/>
      <c r="D36" s="46" t="b">
        <v>0</v>
      </c>
      <c r="E36" s="1">
        <f t="shared" si="0"/>
        <v>0</v>
      </c>
    </row>
    <row r="37" spans="1:5" s="1" customFormat="1" ht="30" customHeight="1">
      <c r="A37" s="79" t="s">
        <v>201</v>
      </c>
      <c r="B37" s="79"/>
      <c r="C37" s="79"/>
      <c r="D37" s="46" t="b">
        <v>0</v>
      </c>
      <c r="E37" s="1">
        <f t="shared" si="0"/>
        <v>0</v>
      </c>
    </row>
    <row r="38" spans="1:5" s="1" customFormat="1" ht="30" customHeight="1">
      <c r="A38" s="79" t="s">
        <v>202</v>
      </c>
      <c r="B38" s="79"/>
      <c r="C38" s="79"/>
      <c r="D38" s="46" t="b">
        <v>0</v>
      </c>
      <c r="E38" s="1">
        <f t="shared" si="0"/>
        <v>0</v>
      </c>
    </row>
    <row r="39" spans="1:5" s="1" customFormat="1" ht="30" customHeight="1">
      <c r="A39" s="79" t="s">
        <v>203</v>
      </c>
      <c r="B39" s="79"/>
      <c r="C39" s="79"/>
      <c r="D39" s="46" t="b">
        <v>0</v>
      </c>
      <c r="E39" s="1">
        <f t="shared" si="0"/>
        <v>0</v>
      </c>
    </row>
    <row r="40" spans="1:5" s="1" customFormat="1" ht="30" customHeight="1">
      <c r="A40" s="79" t="s">
        <v>204</v>
      </c>
      <c r="B40" s="79"/>
      <c r="C40" s="79"/>
      <c r="D40" s="46" t="b">
        <v>0</v>
      </c>
      <c r="E40" s="1">
        <f t="shared" si="0"/>
        <v>0</v>
      </c>
    </row>
    <row r="41" spans="1:5" s="1" customFormat="1" ht="30" customHeight="1">
      <c r="A41" s="79" t="s">
        <v>205</v>
      </c>
      <c r="B41" s="79"/>
      <c r="C41" s="79"/>
      <c r="D41" s="46" t="b">
        <v>0</v>
      </c>
      <c r="E41" s="1">
        <f t="shared" si="0"/>
        <v>0</v>
      </c>
    </row>
    <row r="42" spans="1:5" s="1" customFormat="1" ht="30" customHeight="1">
      <c r="A42" s="79" t="s">
        <v>206</v>
      </c>
      <c r="B42" s="79"/>
      <c r="C42" s="79"/>
      <c r="D42" s="46" t="b">
        <v>0</v>
      </c>
      <c r="E42" s="1">
        <f t="shared" si="0"/>
        <v>0</v>
      </c>
    </row>
    <row r="43" spans="1:5" s="1" customFormat="1" ht="30" customHeight="1">
      <c r="A43" s="79" t="s">
        <v>207</v>
      </c>
      <c r="B43" s="79"/>
      <c r="C43" s="79"/>
      <c r="D43" s="46" t="b">
        <v>0</v>
      </c>
      <c r="E43" s="1">
        <f t="shared" si="0"/>
        <v>0</v>
      </c>
    </row>
    <row r="44" spans="1:5" s="1" customFormat="1" ht="30" customHeight="1">
      <c r="A44" s="79" t="s">
        <v>208</v>
      </c>
      <c r="B44" s="79"/>
      <c r="C44" s="79"/>
      <c r="D44" s="46" t="b">
        <v>0</v>
      </c>
      <c r="E44" s="1">
        <f t="shared" si="0"/>
        <v>0</v>
      </c>
    </row>
    <row r="45" spans="1:5" s="1" customFormat="1" ht="30" customHeight="1">
      <c r="A45" s="79" t="s">
        <v>209</v>
      </c>
      <c r="B45" s="79"/>
      <c r="C45" s="79"/>
      <c r="D45" s="46" t="b">
        <v>0</v>
      </c>
      <c r="E45" s="1">
        <f t="shared" si="0"/>
        <v>0</v>
      </c>
    </row>
    <row r="46" spans="1:5" s="1" customFormat="1" ht="30" customHeight="1">
      <c r="A46" s="79" t="s">
        <v>210</v>
      </c>
      <c r="B46" s="79"/>
      <c r="C46" s="79"/>
      <c r="D46" s="46" t="b">
        <v>0</v>
      </c>
      <c r="E46" s="1">
        <f t="shared" si="0"/>
        <v>0</v>
      </c>
    </row>
    <row r="47" spans="1:5" s="1" customFormat="1" ht="30" customHeight="1">
      <c r="A47" s="79" t="s">
        <v>211</v>
      </c>
      <c r="B47" s="79"/>
      <c r="C47" s="79"/>
      <c r="D47" s="46" t="b">
        <v>0</v>
      </c>
      <c r="E47" s="1">
        <f t="shared" si="0"/>
        <v>0</v>
      </c>
    </row>
    <row r="48" spans="1:5" s="1" customFormat="1" ht="30" customHeight="1">
      <c r="A48" s="79" t="s">
        <v>212</v>
      </c>
      <c r="B48" s="79"/>
      <c r="C48" s="79"/>
      <c r="D48" s="46" t="b">
        <v>0</v>
      </c>
      <c r="E48" s="1">
        <f t="shared" si="0"/>
        <v>0</v>
      </c>
    </row>
    <row r="49" spans="1:5" s="1" customFormat="1" ht="30" customHeight="1">
      <c r="A49" s="79" t="s">
        <v>213</v>
      </c>
      <c r="B49" s="79"/>
      <c r="C49" s="79"/>
      <c r="D49" s="46" t="b">
        <v>0</v>
      </c>
      <c r="E49" s="1">
        <f t="shared" si="0"/>
        <v>0</v>
      </c>
    </row>
    <row r="50" spans="1:5" s="1" customFormat="1" ht="30" customHeight="1">
      <c r="A50" s="79" t="s">
        <v>214</v>
      </c>
      <c r="B50" s="79"/>
      <c r="C50" s="79"/>
      <c r="D50" s="46" t="b">
        <v>0</v>
      </c>
      <c r="E50" s="1">
        <f t="shared" si="0"/>
        <v>0</v>
      </c>
    </row>
    <row r="51" spans="1:5" s="1" customFormat="1" ht="30" customHeight="1">
      <c r="A51" s="79" t="s">
        <v>215</v>
      </c>
      <c r="B51" s="79"/>
      <c r="C51" s="79"/>
      <c r="D51" s="46" t="b">
        <v>0</v>
      </c>
      <c r="E51" s="1">
        <f t="shared" si="0"/>
        <v>0</v>
      </c>
    </row>
    <row r="52" spans="1:5" s="1" customFormat="1" ht="30" customHeight="1">
      <c r="A52" s="79" t="s">
        <v>216</v>
      </c>
      <c r="B52" s="79"/>
      <c r="C52" s="79"/>
      <c r="D52" s="46" t="b">
        <v>0</v>
      </c>
      <c r="E52" s="1">
        <f t="shared" si="0"/>
        <v>0</v>
      </c>
    </row>
    <row r="53" spans="1:5" s="1" customFormat="1" ht="30" customHeight="1">
      <c r="A53" s="79" t="s">
        <v>217</v>
      </c>
      <c r="B53" s="79"/>
      <c r="C53" s="79"/>
      <c r="D53" s="46" t="b">
        <v>0</v>
      </c>
      <c r="E53" s="1">
        <f t="shared" si="0"/>
        <v>0</v>
      </c>
    </row>
    <row r="54" spans="1:5" s="1" customFormat="1" ht="30" customHeight="1">
      <c r="A54" s="79" t="s">
        <v>218</v>
      </c>
      <c r="B54" s="79"/>
      <c r="C54" s="79"/>
      <c r="D54" s="46" t="b">
        <v>0</v>
      </c>
      <c r="E54" s="1">
        <f t="shared" si="0"/>
        <v>0</v>
      </c>
    </row>
    <row r="55" spans="1:5" s="1" customFormat="1" ht="30" customHeight="1">
      <c r="A55" s="79" t="s">
        <v>219</v>
      </c>
      <c r="B55" s="79"/>
      <c r="C55" s="79"/>
      <c r="D55" s="46" t="b">
        <v>0</v>
      </c>
      <c r="E55" s="1">
        <f t="shared" si="0"/>
        <v>0</v>
      </c>
    </row>
    <row r="56" spans="1:5" s="1" customFormat="1" ht="30" customHeight="1">
      <c r="A56" s="79" t="s">
        <v>220</v>
      </c>
      <c r="B56" s="79"/>
      <c r="C56" s="79"/>
      <c r="D56" s="46" t="b">
        <v>0</v>
      </c>
      <c r="E56" s="1">
        <f t="shared" si="0"/>
        <v>0</v>
      </c>
    </row>
    <row r="57" spans="1:5" s="1" customFormat="1" ht="30" customHeight="1">
      <c r="A57" s="79" t="s">
        <v>221</v>
      </c>
      <c r="B57" s="79"/>
      <c r="C57" s="79"/>
      <c r="D57" s="46" t="b">
        <v>0</v>
      </c>
      <c r="E57" s="1">
        <f t="shared" si="0"/>
        <v>0</v>
      </c>
    </row>
    <row r="58" spans="1:5" s="1" customFormat="1" ht="30" customHeight="1">
      <c r="A58" s="79" t="s">
        <v>222</v>
      </c>
      <c r="B58" s="79"/>
      <c r="C58" s="79"/>
      <c r="D58" s="46" t="b">
        <v>0</v>
      </c>
      <c r="E58" s="1">
        <f t="shared" si="0"/>
        <v>0</v>
      </c>
    </row>
    <row r="59" spans="1:5" s="1" customFormat="1" ht="30" customHeight="1">
      <c r="A59" s="79" t="s">
        <v>223</v>
      </c>
      <c r="B59" s="79"/>
      <c r="C59" s="79"/>
      <c r="D59" s="46" t="b">
        <v>0</v>
      </c>
      <c r="E59" s="1">
        <f t="shared" si="0"/>
        <v>0</v>
      </c>
    </row>
    <row r="60" spans="1:5" s="1" customFormat="1" ht="30" customHeight="1">
      <c r="A60" s="80" t="s">
        <v>224</v>
      </c>
      <c r="B60" s="80"/>
      <c r="C60" s="80"/>
      <c r="D60" s="46" t="b">
        <v>0</v>
      </c>
      <c r="E60" s="1">
        <f t="shared" si="0"/>
        <v>0</v>
      </c>
    </row>
    <row r="61" spans="1:5">
      <c r="E61" s="1">
        <f>SUM(E7:E60)</f>
        <v>0</v>
      </c>
    </row>
  </sheetData>
  <sheetProtection sheet="1" objects="1" scenarios="1" selectLockedCells="1"/>
  <mergeCells count="59">
    <mergeCell ref="A1:B1"/>
    <mergeCell ref="A3:B3"/>
    <mergeCell ref="A4:B4"/>
    <mergeCell ref="A6:D6"/>
    <mergeCell ref="A7:C7"/>
    <mergeCell ref="A2:D2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43:C43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55:C55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6:C56"/>
    <mergeCell ref="A57:C57"/>
    <mergeCell ref="A58:C58"/>
    <mergeCell ref="A59:C59"/>
    <mergeCell ref="A60:C60"/>
  </mergeCells>
  <conditionalFormatting sqref="A7">
    <cfRule type="duplicateValues" dxfId="71" priority="2"/>
  </conditionalFormatting>
  <conditionalFormatting sqref="A8:A60">
    <cfRule type="duplicateValues" dxfId="70" priority="14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3"/>
  <dimension ref="A1:E6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29.25" customHeight="1">
      <c r="A7" s="79" t="s">
        <v>174</v>
      </c>
      <c r="B7" s="79"/>
      <c r="C7" s="79"/>
      <c r="D7" s="45" t="b">
        <v>0</v>
      </c>
      <c r="E7">
        <f>IF(LEN(D7)&gt;4,1,0)</f>
        <v>0</v>
      </c>
    </row>
    <row r="8" spans="1:5" ht="29.25" customHeight="1">
      <c r="A8" s="79" t="s">
        <v>175</v>
      </c>
      <c r="B8" s="79"/>
      <c r="C8" s="79"/>
      <c r="D8" s="45" t="b">
        <v>0</v>
      </c>
      <c r="E8">
        <f t="shared" ref="E8:E60" si="0">IF(LEN(D8)&gt;4,1,0)</f>
        <v>0</v>
      </c>
    </row>
    <row r="9" spans="1:5" ht="29.25" customHeight="1">
      <c r="A9" s="79" t="s">
        <v>176</v>
      </c>
      <c r="B9" s="79"/>
      <c r="C9" s="79"/>
      <c r="D9" s="45" t="b">
        <v>0</v>
      </c>
      <c r="E9">
        <f t="shared" si="0"/>
        <v>0</v>
      </c>
    </row>
    <row r="10" spans="1:5" ht="29.25" customHeight="1">
      <c r="A10" s="79" t="s">
        <v>177</v>
      </c>
      <c r="B10" s="79"/>
      <c r="C10" s="79"/>
      <c r="D10" s="45" t="b">
        <v>0</v>
      </c>
      <c r="E10">
        <f t="shared" si="0"/>
        <v>0</v>
      </c>
    </row>
    <row r="11" spans="1:5" ht="29.25" customHeight="1">
      <c r="A11" s="79" t="s">
        <v>178</v>
      </c>
      <c r="B11" s="79"/>
      <c r="C11" s="79"/>
      <c r="D11" s="45" t="b">
        <v>0</v>
      </c>
      <c r="E11">
        <f t="shared" si="0"/>
        <v>0</v>
      </c>
    </row>
    <row r="12" spans="1:5" ht="29.25" customHeight="1">
      <c r="A12" s="79" t="s">
        <v>179</v>
      </c>
      <c r="B12" s="79"/>
      <c r="C12" s="79"/>
      <c r="D12" s="45" t="b">
        <v>0</v>
      </c>
      <c r="E12">
        <f t="shared" si="0"/>
        <v>0</v>
      </c>
    </row>
    <row r="13" spans="1:5" ht="29.25" customHeight="1">
      <c r="A13" s="79" t="s">
        <v>180</v>
      </c>
      <c r="B13" s="79"/>
      <c r="C13" s="79"/>
      <c r="D13" s="45" t="b">
        <v>0</v>
      </c>
      <c r="E13">
        <f t="shared" si="0"/>
        <v>0</v>
      </c>
    </row>
    <row r="14" spans="1:5" ht="29.25" customHeight="1">
      <c r="A14" s="79" t="s">
        <v>181</v>
      </c>
      <c r="B14" s="79"/>
      <c r="C14" s="79"/>
      <c r="D14" s="45" t="b">
        <v>0</v>
      </c>
      <c r="E14">
        <f t="shared" si="0"/>
        <v>0</v>
      </c>
    </row>
    <row r="15" spans="1:5" ht="29.25" customHeight="1">
      <c r="A15" s="79" t="s">
        <v>85</v>
      </c>
      <c r="B15" s="79"/>
      <c r="C15" s="79"/>
      <c r="D15" s="45" t="b">
        <v>0</v>
      </c>
      <c r="E15">
        <f t="shared" si="0"/>
        <v>0</v>
      </c>
    </row>
    <row r="16" spans="1:5" ht="29.25" customHeight="1">
      <c r="A16" s="79" t="s">
        <v>87</v>
      </c>
      <c r="B16" s="79"/>
      <c r="C16" s="79"/>
      <c r="D16" s="45" t="b">
        <v>0</v>
      </c>
      <c r="E16">
        <f t="shared" si="0"/>
        <v>0</v>
      </c>
    </row>
    <row r="17" spans="1:5" ht="29.25" customHeight="1">
      <c r="A17" s="79" t="s">
        <v>182</v>
      </c>
      <c r="B17" s="79"/>
      <c r="C17" s="79"/>
      <c r="D17" s="45" t="b">
        <v>0</v>
      </c>
      <c r="E17">
        <f t="shared" si="0"/>
        <v>0</v>
      </c>
    </row>
    <row r="18" spans="1:5" ht="29.25" customHeight="1">
      <c r="A18" s="79" t="s">
        <v>183</v>
      </c>
      <c r="B18" s="79"/>
      <c r="C18" s="79"/>
      <c r="D18" s="45" t="b">
        <v>0</v>
      </c>
      <c r="E18">
        <f t="shared" si="0"/>
        <v>0</v>
      </c>
    </row>
    <row r="19" spans="1:5" ht="29.25" customHeight="1">
      <c r="A19" s="79" t="s">
        <v>184</v>
      </c>
      <c r="B19" s="79"/>
      <c r="C19" s="79"/>
      <c r="D19" s="45" t="b">
        <v>0</v>
      </c>
      <c r="E19">
        <f t="shared" si="0"/>
        <v>0</v>
      </c>
    </row>
    <row r="20" spans="1:5" ht="29.25" customHeight="1">
      <c r="A20" s="79" t="s">
        <v>185</v>
      </c>
      <c r="B20" s="79"/>
      <c r="C20" s="79"/>
      <c r="D20" s="45" t="b">
        <v>0</v>
      </c>
      <c r="E20">
        <f t="shared" si="0"/>
        <v>0</v>
      </c>
    </row>
    <row r="21" spans="1:5" ht="29.25" customHeight="1">
      <c r="A21" s="79" t="s">
        <v>186</v>
      </c>
      <c r="B21" s="79"/>
      <c r="C21" s="79"/>
      <c r="D21" s="45" t="b">
        <v>0</v>
      </c>
      <c r="E21">
        <f t="shared" si="0"/>
        <v>0</v>
      </c>
    </row>
    <row r="22" spans="1:5" ht="29.25" customHeight="1">
      <c r="A22" s="79" t="s">
        <v>187</v>
      </c>
      <c r="B22" s="79"/>
      <c r="C22" s="79"/>
      <c r="D22" s="45" t="b">
        <v>0</v>
      </c>
      <c r="E22">
        <f t="shared" si="0"/>
        <v>0</v>
      </c>
    </row>
    <row r="23" spans="1:5" ht="29.25" customHeight="1">
      <c r="A23" s="79" t="s">
        <v>188</v>
      </c>
      <c r="B23" s="79"/>
      <c r="C23" s="79"/>
      <c r="D23" s="45" t="b">
        <v>0</v>
      </c>
      <c r="E23">
        <f t="shared" si="0"/>
        <v>0</v>
      </c>
    </row>
    <row r="24" spans="1:5" ht="29.25" customHeight="1">
      <c r="A24" s="79" t="s">
        <v>189</v>
      </c>
      <c r="B24" s="79"/>
      <c r="C24" s="79"/>
      <c r="D24" s="45" t="b">
        <v>0</v>
      </c>
      <c r="E24">
        <f t="shared" si="0"/>
        <v>0</v>
      </c>
    </row>
    <row r="25" spans="1:5" ht="29.25" customHeight="1">
      <c r="A25" s="79" t="s">
        <v>190</v>
      </c>
      <c r="B25" s="79"/>
      <c r="C25" s="79"/>
      <c r="D25" s="45" t="b">
        <v>0</v>
      </c>
      <c r="E25">
        <f t="shared" si="0"/>
        <v>0</v>
      </c>
    </row>
    <row r="26" spans="1:5" ht="29.25" customHeight="1">
      <c r="A26" s="79" t="s">
        <v>191</v>
      </c>
      <c r="B26" s="79"/>
      <c r="C26" s="79"/>
      <c r="D26" s="45" t="b">
        <v>0</v>
      </c>
      <c r="E26">
        <f t="shared" si="0"/>
        <v>0</v>
      </c>
    </row>
    <row r="27" spans="1:5" ht="29.25" customHeight="1">
      <c r="A27" s="79" t="s">
        <v>192</v>
      </c>
      <c r="B27" s="79"/>
      <c r="C27" s="79"/>
      <c r="D27" s="45" t="b">
        <v>0</v>
      </c>
      <c r="E27">
        <f t="shared" si="0"/>
        <v>0</v>
      </c>
    </row>
    <row r="28" spans="1:5" ht="29.25" customHeight="1">
      <c r="A28" s="79" t="s">
        <v>101</v>
      </c>
      <c r="B28" s="79"/>
      <c r="C28" s="79"/>
      <c r="D28" s="45" t="b">
        <v>0</v>
      </c>
      <c r="E28">
        <f t="shared" si="0"/>
        <v>0</v>
      </c>
    </row>
    <row r="29" spans="1:5" ht="29.25" customHeight="1">
      <c r="A29" s="79" t="s">
        <v>193</v>
      </c>
      <c r="B29" s="79"/>
      <c r="C29" s="79"/>
      <c r="D29" s="45" t="b">
        <v>0</v>
      </c>
      <c r="E29">
        <f t="shared" si="0"/>
        <v>0</v>
      </c>
    </row>
    <row r="30" spans="1:5" ht="29.25" customHeight="1">
      <c r="A30" s="79" t="s">
        <v>194</v>
      </c>
      <c r="B30" s="79"/>
      <c r="C30" s="79"/>
      <c r="D30" s="45" t="b">
        <v>0</v>
      </c>
      <c r="E30">
        <f t="shared" si="0"/>
        <v>0</v>
      </c>
    </row>
    <row r="31" spans="1:5" ht="29.25" customHeight="1">
      <c r="A31" s="79" t="s">
        <v>195</v>
      </c>
      <c r="B31" s="79"/>
      <c r="C31" s="79"/>
      <c r="D31" s="45" t="b">
        <v>0</v>
      </c>
      <c r="E31">
        <f t="shared" si="0"/>
        <v>0</v>
      </c>
    </row>
    <row r="32" spans="1:5" ht="29.25" customHeight="1">
      <c r="A32" s="79" t="s">
        <v>196</v>
      </c>
      <c r="B32" s="79"/>
      <c r="C32" s="79"/>
      <c r="D32" s="45" t="b">
        <v>0</v>
      </c>
      <c r="E32">
        <f t="shared" si="0"/>
        <v>0</v>
      </c>
    </row>
    <row r="33" spans="1:5" ht="29.25" customHeight="1">
      <c r="A33" s="79" t="s">
        <v>197</v>
      </c>
      <c r="B33" s="79"/>
      <c r="C33" s="79"/>
      <c r="D33" s="45" t="b">
        <v>0</v>
      </c>
      <c r="E33">
        <f t="shared" si="0"/>
        <v>0</v>
      </c>
    </row>
    <row r="34" spans="1:5" ht="29.25" customHeight="1">
      <c r="A34" s="79" t="s">
        <v>198</v>
      </c>
      <c r="B34" s="79"/>
      <c r="C34" s="79"/>
      <c r="D34" s="45" t="b">
        <v>0</v>
      </c>
      <c r="E34">
        <f t="shared" si="0"/>
        <v>0</v>
      </c>
    </row>
    <row r="35" spans="1:5" ht="29.25" customHeight="1">
      <c r="A35" s="79" t="s">
        <v>199</v>
      </c>
      <c r="B35" s="79"/>
      <c r="C35" s="79"/>
      <c r="D35" s="45" t="b">
        <v>0</v>
      </c>
      <c r="E35">
        <f t="shared" si="0"/>
        <v>0</v>
      </c>
    </row>
    <row r="36" spans="1:5" ht="29.25" customHeight="1">
      <c r="A36" s="79" t="s">
        <v>200</v>
      </c>
      <c r="B36" s="79"/>
      <c r="C36" s="79"/>
      <c r="D36" s="45" t="b">
        <v>0</v>
      </c>
      <c r="E36">
        <f t="shared" si="0"/>
        <v>0</v>
      </c>
    </row>
    <row r="37" spans="1:5" ht="29.25" customHeight="1">
      <c r="A37" s="79" t="s">
        <v>201</v>
      </c>
      <c r="B37" s="79"/>
      <c r="C37" s="79"/>
      <c r="D37" s="45" t="b">
        <v>0</v>
      </c>
      <c r="E37">
        <f t="shared" si="0"/>
        <v>0</v>
      </c>
    </row>
    <row r="38" spans="1:5" ht="29.25" customHeight="1">
      <c r="A38" s="79" t="s">
        <v>202</v>
      </c>
      <c r="B38" s="79"/>
      <c r="C38" s="79"/>
      <c r="D38" s="45" t="b">
        <v>0</v>
      </c>
      <c r="E38">
        <f t="shared" si="0"/>
        <v>0</v>
      </c>
    </row>
    <row r="39" spans="1:5" ht="29.25" customHeight="1">
      <c r="A39" s="79" t="s">
        <v>203</v>
      </c>
      <c r="B39" s="79"/>
      <c r="C39" s="79"/>
      <c r="D39" s="45" t="b">
        <v>0</v>
      </c>
      <c r="E39">
        <f t="shared" si="0"/>
        <v>0</v>
      </c>
    </row>
    <row r="40" spans="1:5" ht="29.25" customHeight="1">
      <c r="A40" s="79" t="s">
        <v>204</v>
      </c>
      <c r="B40" s="79"/>
      <c r="C40" s="79"/>
      <c r="D40" s="45" t="b">
        <v>0</v>
      </c>
      <c r="E40">
        <f t="shared" si="0"/>
        <v>0</v>
      </c>
    </row>
    <row r="41" spans="1:5" ht="29.25" customHeight="1">
      <c r="A41" s="79" t="s">
        <v>205</v>
      </c>
      <c r="B41" s="79"/>
      <c r="C41" s="79"/>
      <c r="D41" s="45" t="b">
        <v>0</v>
      </c>
      <c r="E41">
        <f t="shared" si="0"/>
        <v>0</v>
      </c>
    </row>
    <row r="42" spans="1:5" ht="29.25" customHeight="1">
      <c r="A42" s="79" t="s">
        <v>206</v>
      </c>
      <c r="B42" s="79"/>
      <c r="C42" s="79"/>
      <c r="D42" s="45" t="b">
        <v>0</v>
      </c>
      <c r="E42">
        <f t="shared" si="0"/>
        <v>0</v>
      </c>
    </row>
    <row r="43" spans="1:5" ht="29.25" customHeight="1">
      <c r="A43" s="79" t="s">
        <v>207</v>
      </c>
      <c r="B43" s="79"/>
      <c r="C43" s="79"/>
      <c r="D43" s="45" t="b">
        <v>0</v>
      </c>
      <c r="E43">
        <f t="shared" si="0"/>
        <v>0</v>
      </c>
    </row>
    <row r="44" spans="1:5" ht="29.25" customHeight="1">
      <c r="A44" s="79" t="s">
        <v>208</v>
      </c>
      <c r="B44" s="79"/>
      <c r="C44" s="79"/>
      <c r="D44" s="45" t="b">
        <v>0</v>
      </c>
      <c r="E44">
        <f t="shared" si="0"/>
        <v>0</v>
      </c>
    </row>
    <row r="45" spans="1:5" ht="29.25" customHeight="1">
      <c r="A45" s="79" t="s">
        <v>209</v>
      </c>
      <c r="B45" s="79"/>
      <c r="C45" s="79"/>
      <c r="D45" s="45" t="b">
        <v>0</v>
      </c>
      <c r="E45">
        <f t="shared" si="0"/>
        <v>0</v>
      </c>
    </row>
    <row r="46" spans="1:5" ht="29.25" customHeight="1">
      <c r="A46" s="79" t="s">
        <v>210</v>
      </c>
      <c r="B46" s="79"/>
      <c r="C46" s="79"/>
      <c r="D46" s="45" t="b">
        <v>0</v>
      </c>
      <c r="E46">
        <f t="shared" si="0"/>
        <v>0</v>
      </c>
    </row>
    <row r="47" spans="1:5" ht="29.25" customHeight="1">
      <c r="A47" s="79" t="s">
        <v>211</v>
      </c>
      <c r="B47" s="79"/>
      <c r="C47" s="79"/>
      <c r="D47" s="45" t="b">
        <v>0</v>
      </c>
      <c r="E47">
        <f t="shared" si="0"/>
        <v>0</v>
      </c>
    </row>
    <row r="48" spans="1:5" ht="29.25" customHeight="1">
      <c r="A48" s="79" t="s">
        <v>212</v>
      </c>
      <c r="B48" s="79"/>
      <c r="C48" s="79"/>
      <c r="D48" s="45" t="b">
        <v>0</v>
      </c>
      <c r="E48">
        <f t="shared" si="0"/>
        <v>0</v>
      </c>
    </row>
    <row r="49" spans="1:5" ht="29.25" customHeight="1">
      <c r="A49" s="79" t="s">
        <v>213</v>
      </c>
      <c r="B49" s="79"/>
      <c r="C49" s="79"/>
      <c r="D49" s="45" t="b">
        <v>0</v>
      </c>
      <c r="E49">
        <f t="shared" si="0"/>
        <v>0</v>
      </c>
    </row>
    <row r="50" spans="1:5" ht="29.25" customHeight="1">
      <c r="A50" s="79" t="s">
        <v>214</v>
      </c>
      <c r="B50" s="79"/>
      <c r="C50" s="79"/>
      <c r="D50" s="45" t="b">
        <v>0</v>
      </c>
      <c r="E50">
        <f t="shared" si="0"/>
        <v>0</v>
      </c>
    </row>
    <row r="51" spans="1:5" ht="29.25" customHeight="1">
      <c r="A51" s="79" t="s">
        <v>215</v>
      </c>
      <c r="B51" s="79"/>
      <c r="C51" s="79"/>
      <c r="D51" s="45" t="b">
        <v>0</v>
      </c>
      <c r="E51">
        <f t="shared" si="0"/>
        <v>0</v>
      </c>
    </row>
    <row r="52" spans="1:5" ht="29.25" customHeight="1">
      <c r="A52" s="79" t="s">
        <v>216</v>
      </c>
      <c r="B52" s="79"/>
      <c r="C52" s="79"/>
      <c r="D52" s="45" t="b">
        <v>0</v>
      </c>
      <c r="E52">
        <f t="shared" si="0"/>
        <v>0</v>
      </c>
    </row>
    <row r="53" spans="1:5" ht="29.25" customHeight="1">
      <c r="A53" s="79" t="s">
        <v>217</v>
      </c>
      <c r="B53" s="79"/>
      <c r="C53" s="79"/>
      <c r="D53" s="45" t="b">
        <v>0</v>
      </c>
      <c r="E53">
        <f t="shared" si="0"/>
        <v>0</v>
      </c>
    </row>
    <row r="54" spans="1:5" ht="29.25" customHeight="1">
      <c r="A54" s="79" t="s">
        <v>218</v>
      </c>
      <c r="B54" s="79"/>
      <c r="C54" s="79"/>
      <c r="D54" s="45" t="b">
        <v>0</v>
      </c>
      <c r="E54">
        <f t="shared" si="0"/>
        <v>0</v>
      </c>
    </row>
    <row r="55" spans="1:5" ht="29.25" customHeight="1">
      <c r="A55" s="79" t="s">
        <v>219</v>
      </c>
      <c r="B55" s="79"/>
      <c r="C55" s="79"/>
      <c r="D55" s="45" t="b">
        <v>0</v>
      </c>
      <c r="E55">
        <f t="shared" si="0"/>
        <v>0</v>
      </c>
    </row>
    <row r="56" spans="1:5" ht="29.25" customHeight="1">
      <c r="A56" s="79" t="s">
        <v>220</v>
      </c>
      <c r="B56" s="79"/>
      <c r="C56" s="79"/>
      <c r="D56" s="45" t="b">
        <v>0</v>
      </c>
      <c r="E56">
        <f t="shared" si="0"/>
        <v>0</v>
      </c>
    </row>
    <row r="57" spans="1:5" ht="29.25" customHeight="1">
      <c r="A57" s="79" t="s">
        <v>221</v>
      </c>
      <c r="B57" s="79"/>
      <c r="C57" s="79"/>
      <c r="D57" s="45" t="b">
        <v>0</v>
      </c>
      <c r="E57">
        <f t="shared" si="0"/>
        <v>0</v>
      </c>
    </row>
    <row r="58" spans="1:5" ht="29.25" customHeight="1">
      <c r="A58" s="79" t="s">
        <v>222</v>
      </c>
      <c r="B58" s="79"/>
      <c r="C58" s="79"/>
      <c r="D58" s="45" t="b">
        <v>0</v>
      </c>
      <c r="E58">
        <f t="shared" si="0"/>
        <v>0</v>
      </c>
    </row>
    <row r="59" spans="1:5" ht="29.25" customHeight="1">
      <c r="A59" s="79" t="s">
        <v>223</v>
      </c>
      <c r="B59" s="79"/>
      <c r="C59" s="79"/>
      <c r="D59" s="45" t="b">
        <v>0</v>
      </c>
      <c r="E59">
        <f t="shared" si="0"/>
        <v>0</v>
      </c>
    </row>
    <row r="60" spans="1:5" ht="29.25" customHeight="1">
      <c r="A60" s="80" t="s">
        <v>224</v>
      </c>
      <c r="B60" s="80"/>
      <c r="C60" s="80"/>
      <c r="D60" s="45" t="b">
        <v>0</v>
      </c>
      <c r="E60">
        <f t="shared" si="0"/>
        <v>0</v>
      </c>
    </row>
    <row r="61" spans="1:5">
      <c r="E61">
        <f>SUM(E7:E60)</f>
        <v>0</v>
      </c>
    </row>
  </sheetData>
  <sheetProtection sheet="1" objects="1" scenarios="1" selectLockedCells="1"/>
  <mergeCells count="59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43:C43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55:C55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6:C56"/>
    <mergeCell ref="A57:C57"/>
    <mergeCell ref="A58:C58"/>
    <mergeCell ref="A59:C59"/>
    <mergeCell ref="A60:C60"/>
  </mergeCells>
  <conditionalFormatting sqref="A7">
    <cfRule type="duplicateValues" dxfId="69" priority="1"/>
  </conditionalFormatting>
  <conditionalFormatting sqref="A8:A60">
    <cfRule type="duplicateValues" dxfId="68" priority="2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Лист14"/>
  <dimension ref="A1:E6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33" customHeight="1">
      <c r="A7" s="79" t="s">
        <v>174</v>
      </c>
      <c r="B7" s="79"/>
      <c r="C7" s="79"/>
      <c r="D7" s="45" t="b">
        <v>0</v>
      </c>
      <c r="E7">
        <f>IF(LEN(D7)&gt;4,1,0)</f>
        <v>0</v>
      </c>
    </row>
    <row r="8" spans="1:5" ht="33" customHeight="1">
      <c r="A8" s="79" t="s">
        <v>175</v>
      </c>
      <c r="B8" s="79"/>
      <c r="C8" s="79"/>
      <c r="D8" s="45" t="b">
        <v>0</v>
      </c>
      <c r="E8">
        <f t="shared" ref="E8:E60" si="0">IF(LEN(D8)&gt;4,1,0)</f>
        <v>0</v>
      </c>
    </row>
    <row r="9" spans="1:5" ht="33" customHeight="1">
      <c r="A9" s="79" t="s">
        <v>176</v>
      </c>
      <c r="B9" s="79"/>
      <c r="C9" s="79"/>
      <c r="D9" s="45" t="b">
        <v>0</v>
      </c>
      <c r="E9">
        <f t="shared" si="0"/>
        <v>0</v>
      </c>
    </row>
    <row r="10" spans="1:5" ht="33" customHeight="1">
      <c r="A10" s="79" t="s">
        <v>177</v>
      </c>
      <c r="B10" s="79"/>
      <c r="C10" s="79"/>
      <c r="D10" s="45" t="b">
        <v>0</v>
      </c>
      <c r="E10">
        <f t="shared" si="0"/>
        <v>0</v>
      </c>
    </row>
    <row r="11" spans="1:5" ht="33" customHeight="1">
      <c r="A11" s="79" t="s">
        <v>178</v>
      </c>
      <c r="B11" s="79"/>
      <c r="C11" s="79"/>
      <c r="D11" s="45" t="b">
        <v>0</v>
      </c>
      <c r="E11">
        <f t="shared" si="0"/>
        <v>0</v>
      </c>
    </row>
    <row r="12" spans="1:5" ht="33" customHeight="1">
      <c r="A12" s="79" t="s">
        <v>179</v>
      </c>
      <c r="B12" s="79"/>
      <c r="C12" s="79"/>
      <c r="D12" s="45" t="b">
        <v>0</v>
      </c>
      <c r="E12">
        <f t="shared" si="0"/>
        <v>0</v>
      </c>
    </row>
    <row r="13" spans="1:5" ht="33" customHeight="1">
      <c r="A13" s="79" t="s">
        <v>180</v>
      </c>
      <c r="B13" s="79"/>
      <c r="C13" s="79"/>
      <c r="D13" s="45" t="b">
        <v>0</v>
      </c>
      <c r="E13">
        <f t="shared" si="0"/>
        <v>0</v>
      </c>
    </row>
    <row r="14" spans="1:5" ht="33" customHeight="1">
      <c r="A14" s="79" t="s">
        <v>181</v>
      </c>
      <c r="B14" s="79"/>
      <c r="C14" s="79"/>
      <c r="D14" s="45" t="b">
        <v>0</v>
      </c>
      <c r="E14">
        <f t="shared" si="0"/>
        <v>0</v>
      </c>
    </row>
    <row r="15" spans="1:5" ht="33" customHeight="1">
      <c r="A15" s="79" t="s">
        <v>85</v>
      </c>
      <c r="B15" s="79"/>
      <c r="C15" s="79"/>
      <c r="D15" s="45" t="b">
        <v>0</v>
      </c>
      <c r="E15">
        <f t="shared" si="0"/>
        <v>0</v>
      </c>
    </row>
    <row r="16" spans="1:5" ht="33" customHeight="1">
      <c r="A16" s="79" t="s">
        <v>87</v>
      </c>
      <c r="B16" s="79"/>
      <c r="C16" s="79"/>
      <c r="D16" s="45" t="b">
        <v>0</v>
      </c>
      <c r="E16">
        <f t="shared" si="0"/>
        <v>0</v>
      </c>
    </row>
    <row r="17" spans="1:5" ht="33" customHeight="1">
      <c r="A17" s="79" t="s">
        <v>182</v>
      </c>
      <c r="B17" s="79"/>
      <c r="C17" s="79"/>
      <c r="D17" s="45" t="b">
        <v>0</v>
      </c>
      <c r="E17">
        <f t="shared" si="0"/>
        <v>0</v>
      </c>
    </row>
    <row r="18" spans="1:5" ht="33" customHeight="1">
      <c r="A18" s="79" t="s">
        <v>183</v>
      </c>
      <c r="B18" s="79"/>
      <c r="C18" s="79"/>
      <c r="D18" s="45" t="b">
        <v>0</v>
      </c>
      <c r="E18">
        <f t="shared" si="0"/>
        <v>0</v>
      </c>
    </row>
    <row r="19" spans="1:5" ht="33" customHeight="1">
      <c r="A19" s="79" t="s">
        <v>184</v>
      </c>
      <c r="B19" s="79"/>
      <c r="C19" s="79"/>
      <c r="D19" s="45" t="b">
        <v>0</v>
      </c>
      <c r="E19">
        <f t="shared" si="0"/>
        <v>0</v>
      </c>
    </row>
    <row r="20" spans="1:5" ht="33" customHeight="1">
      <c r="A20" s="79" t="s">
        <v>185</v>
      </c>
      <c r="B20" s="79"/>
      <c r="C20" s="79"/>
      <c r="D20" s="45" t="b">
        <v>0</v>
      </c>
      <c r="E20">
        <f t="shared" si="0"/>
        <v>0</v>
      </c>
    </row>
    <row r="21" spans="1:5" ht="33" customHeight="1">
      <c r="A21" s="79" t="s">
        <v>186</v>
      </c>
      <c r="B21" s="79"/>
      <c r="C21" s="79"/>
      <c r="D21" s="45" t="b">
        <v>0</v>
      </c>
      <c r="E21">
        <f t="shared" si="0"/>
        <v>0</v>
      </c>
    </row>
    <row r="22" spans="1:5" ht="33" customHeight="1">
      <c r="A22" s="79" t="s">
        <v>187</v>
      </c>
      <c r="B22" s="79"/>
      <c r="C22" s="79"/>
      <c r="D22" s="45" t="b">
        <v>0</v>
      </c>
      <c r="E22">
        <f t="shared" si="0"/>
        <v>0</v>
      </c>
    </row>
    <row r="23" spans="1:5" ht="33" customHeight="1">
      <c r="A23" s="79" t="s">
        <v>188</v>
      </c>
      <c r="B23" s="79"/>
      <c r="C23" s="79"/>
      <c r="D23" s="45" t="b">
        <v>0</v>
      </c>
      <c r="E23">
        <f t="shared" si="0"/>
        <v>0</v>
      </c>
    </row>
    <row r="24" spans="1:5" ht="33" customHeight="1">
      <c r="A24" s="79" t="s">
        <v>189</v>
      </c>
      <c r="B24" s="79"/>
      <c r="C24" s="79"/>
      <c r="D24" s="45" t="b">
        <v>0</v>
      </c>
      <c r="E24">
        <f t="shared" si="0"/>
        <v>0</v>
      </c>
    </row>
    <row r="25" spans="1:5" ht="33" customHeight="1">
      <c r="A25" s="79" t="s">
        <v>190</v>
      </c>
      <c r="B25" s="79"/>
      <c r="C25" s="79"/>
      <c r="D25" s="45" t="b">
        <v>0</v>
      </c>
      <c r="E25">
        <f t="shared" si="0"/>
        <v>0</v>
      </c>
    </row>
    <row r="26" spans="1:5" ht="33" customHeight="1">
      <c r="A26" s="79" t="s">
        <v>191</v>
      </c>
      <c r="B26" s="79"/>
      <c r="C26" s="79"/>
      <c r="D26" s="45" t="b">
        <v>0</v>
      </c>
      <c r="E26">
        <f t="shared" si="0"/>
        <v>0</v>
      </c>
    </row>
    <row r="27" spans="1:5" ht="33" customHeight="1">
      <c r="A27" s="79" t="s">
        <v>192</v>
      </c>
      <c r="B27" s="79"/>
      <c r="C27" s="79"/>
      <c r="D27" s="45" t="b">
        <v>0</v>
      </c>
      <c r="E27">
        <f t="shared" si="0"/>
        <v>0</v>
      </c>
    </row>
    <row r="28" spans="1:5" ht="33" customHeight="1">
      <c r="A28" s="79" t="s">
        <v>101</v>
      </c>
      <c r="B28" s="79"/>
      <c r="C28" s="79"/>
      <c r="D28" s="45" t="b">
        <v>0</v>
      </c>
      <c r="E28">
        <f t="shared" si="0"/>
        <v>0</v>
      </c>
    </row>
    <row r="29" spans="1:5" ht="33" customHeight="1">
      <c r="A29" s="79" t="s">
        <v>193</v>
      </c>
      <c r="B29" s="79"/>
      <c r="C29" s="79"/>
      <c r="D29" s="45" t="b">
        <v>0</v>
      </c>
      <c r="E29">
        <f t="shared" si="0"/>
        <v>0</v>
      </c>
    </row>
    <row r="30" spans="1:5" ht="33" customHeight="1">
      <c r="A30" s="79" t="s">
        <v>194</v>
      </c>
      <c r="B30" s="79"/>
      <c r="C30" s="79"/>
      <c r="D30" s="45" t="b">
        <v>0</v>
      </c>
      <c r="E30">
        <f t="shared" si="0"/>
        <v>0</v>
      </c>
    </row>
    <row r="31" spans="1:5" ht="33" customHeight="1">
      <c r="A31" s="79" t="s">
        <v>195</v>
      </c>
      <c r="B31" s="79"/>
      <c r="C31" s="79"/>
      <c r="D31" s="45" t="b">
        <v>0</v>
      </c>
      <c r="E31">
        <f t="shared" si="0"/>
        <v>0</v>
      </c>
    </row>
    <row r="32" spans="1:5" ht="33" customHeight="1">
      <c r="A32" s="79" t="s">
        <v>196</v>
      </c>
      <c r="B32" s="79"/>
      <c r="C32" s="79"/>
      <c r="D32" s="45" t="b">
        <v>0</v>
      </c>
      <c r="E32">
        <f t="shared" si="0"/>
        <v>0</v>
      </c>
    </row>
    <row r="33" spans="1:5" ht="33" customHeight="1">
      <c r="A33" s="79" t="s">
        <v>197</v>
      </c>
      <c r="B33" s="79"/>
      <c r="C33" s="79"/>
      <c r="D33" s="45" t="b">
        <v>0</v>
      </c>
      <c r="E33">
        <f t="shared" si="0"/>
        <v>0</v>
      </c>
    </row>
    <row r="34" spans="1:5" ht="33" customHeight="1">
      <c r="A34" s="79" t="s">
        <v>198</v>
      </c>
      <c r="B34" s="79"/>
      <c r="C34" s="79"/>
      <c r="D34" s="45" t="b">
        <v>0</v>
      </c>
      <c r="E34">
        <f t="shared" si="0"/>
        <v>0</v>
      </c>
    </row>
    <row r="35" spans="1:5" ht="33" customHeight="1">
      <c r="A35" s="79" t="s">
        <v>199</v>
      </c>
      <c r="B35" s="79"/>
      <c r="C35" s="79"/>
      <c r="D35" s="45" t="b">
        <v>0</v>
      </c>
      <c r="E35">
        <f t="shared" si="0"/>
        <v>0</v>
      </c>
    </row>
    <row r="36" spans="1:5" ht="33" customHeight="1">
      <c r="A36" s="79" t="s">
        <v>200</v>
      </c>
      <c r="B36" s="79"/>
      <c r="C36" s="79"/>
      <c r="D36" s="45" t="b">
        <v>0</v>
      </c>
      <c r="E36">
        <f t="shared" si="0"/>
        <v>0</v>
      </c>
    </row>
    <row r="37" spans="1:5" ht="33" customHeight="1">
      <c r="A37" s="79" t="s">
        <v>201</v>
      </c>
      <c r="B37" s="79"/>
      <c r="C37" s="79"/>
      <c r="D37" s="45" t="b">
        <v>0</v>
      </c>
      <c r="E37">
        <f t="shared" si="0"/>
        <v>0</v>
      </c>
    </row>
    <row r="38" spans="1:5" ht="33" customHeight="1">
      <c r="A38" s="79" t="s">
        <v>202</v>
      </c>
      <c r="B38" s="79"/>
      <c r="C38" s="79"/>
      <c r="D38" s="45" t="b">
        <v>0</v>
      </c>
      <c r="E38">
        <f t="shared" si="0"/>
        <v>0</v>
      </c>
    </row>
    <row r="39" spans="1:5" ht="33" customHeight="1">
      <c r="A39" s="79" t="s">
        <v>203</v>
      </c>
      <c r="B39" s="79"/>
      <c r="C39" s="79"/>
      <c r="D39" s="45" t="b">
        <v>0</v>
      </c>
      <c r="E39">
        <f t="shared" si="0"/>
        <v>0</v>
      </c>
    </row>
    <row r="40" spans="1:5" ht="33" customHeight="1">
      <c r="A40" s="79" t="s">
        <v>204</v>
      </c>
      <c r="B40" s="79"/>
      <c r="C40" s="79"/>
      <c r="D40" s="45" t="b">
        <v>0</v>
      </c>
      <c r="E40">
        <f t="shared" si="0"/>
        <v>0</v>
      </c>
    </row>
    <row r="41" spans="1:5" ht="33" customHeight="1">
      <c r="A41" s="79" t="s">
        <v>205</v>
      </c>
      <c r="B41" s="79"/>
      <c r="C41" s="79"/>
      <c r="D41" s="45" t="b">
        <v>0</v>
      </c>
      <c r="E41">
        <f t="shared" si="0"/>
        <v>0</v>
      </c>
    </row>
    <row r="42" spans="1:5" ht="33" customHeight="1">
      <c r="A42" s="79" t="s">
        <v>206</v>
      </c>
      <c r="B42" s="79"/>
      <c r="C42" s="79"/>
      <c r="D42" s="45" t="b">
        <v>0</v>
      </c>
      <c r="E42">
        <f t="shared" si="0"/>
        <v>0</v>
      </c>
    </row>
    <row r="43" spans="1:5" ht="33" customHeight="1">
      <c r="A43" s="79" t="s">
        <v>207</v>
      </c>
      <c r="B43" s="79"/>
      <c r="C43" s="79"/>
      <c r="D43" s="45" t="b">
        <v>0</v>
      </c>
      <c r="E43">
        <f t="shared" si="0"/>
        <v>0</v>
      </c>
    </row>
    <row r="44" spans="1:5" ht="33" customHeight="1">
      <c r="A44" s="79" t="s">
        <v>208</v>
      </c>
      <c r="B44" s="79"/>
      <c r="C44" s="79"/>
      <c r="D44" s="45" t="b">
        <v>0</v>
      </c>
      <c r="E44">
        <f t="shared" si="0"/>
        <v>0</v>
      </c>
    </row>
    <row r="45" spans="1:5" ht="33" customHeight="1">
      <c r="A45" s="79" t="s">
        <v>209</v>
      </c>
      <c r="B45" s="79"/>
      <c r="C45" s="79"/>
      <c r="D45" s="45" t="b">
        <v>0</v>
      </c>
      <c r="E45">
        <f t="shared" si="0"/>
        <v>0</v>
      </c>
    </row>
    <row r="46" spans="1:5" ht="33" customHeight="1">
      <c r="A46" s="79" t="s">
        <v>210</v>
      </c>
      <c r="B46" s="79"/>
      <c r="C46" s="79"/>
      <c r="D46" s="45" t="b">
        <v>0</v>
      </c>
      <c r="E46">
        <f t="shared" si="0"/>
        <v>0</v>
      </c>
    </row>
    <row r="47" spans="1:5" ht="33" customHeight="1">
      <c r="A47" s="79" t="s">
        <v>211</v>
      </c>
      <c r="B47" s="79"/>
      <c r="C47" s="79"/>
      <c r="D47" s="45" t="b">
        <v>0</v>
      </c>
      <c r="E47">
        <f t="shared" si="0"/>
        <v>0</v>
      </c>
    </row>
    <row r="48" spans="1:5" ht="33" customHeight="1">
      <c r="A48" s="79" t="s">
        <v>212</v>
      </c>
      <c r="B48" s="79"/>
      <c r="C48" s="79"/>
      <c r="D48" s="45" t="b">
        <v>0</v>
      </c>
      <c r="E48">
        <f t="shared" si="0"/>
        <v>0</v>
      </c>
    </row>
    <row r="49" spans="1:5" ht="33" customHeight="1">
      <c r="A49" s="79" t="s">
        <v>213</v>
      </c>
      <c r="B49" s="79"/>
      <c r="C49" s="79"/>
      <c r="D49" s="45" t="b">
        <v>0</v>
      </c>
      <c r="E49">
        <f t="shared" si="0"/>
        <v>0</v>
      </c>
    </row>
    <row r="50" spans="1:5" ht="33" customHeight="1">
      <c r="A50" s="79" t="s">
        <v>214</v>
      </c>
      <c r="B50" s="79"/>
      <c r="C50" s="79"/>
      <c r="D50" s="45" t="b">
        <v>0</v>
      </c>
      <c r="E50">
        <f t="shared" si="0"/>
        <v>0</v>
      </c>
    </row>
    <row r="51" spans="1:5" ht="33" customHeight="1">
      <c r="A51" s="79" t="s">
        <v>215</v>
      </c>
      <c r="B51" s="79"/>
      <c r="C51" s="79"/>
      <c r="D51" s="45" t="b">
        <v>0</v>
      </c>
      <c r="E51">
        <f t="shared" si="0"/>
        <v>0</v>
      </c>
    </row>
    <row r="52" spans="1:5" ht="33" customHeight="1">
      <c r="A52" s="79" t="s">
        <v>216</v>
      </c>
      <c r="B52" s="79"/>
      <c r="C52" s="79"/>
      <c r="D52" s="45" t="b">
        <v>0</v>
      </c>
      <c r="E52">
        <f t="shared" si="0"/>
        <v>0</v>
      </c>
    </row>
    <row r="53" spans="1:5" ht="33" customHeight="1">
      <c r="A53" s="79" t="s">
        <v>217</v>
      </c>
      <c r="B53" s="79"/>
      <c r="C53" s="79"/>
      <c r="D53" s="45" t="b">
        <v>0</v>
      </c>
      <c r="E53">
        <f t="shared" si="0"/>
        <v>0</v>
      </c>
    </row>
    <row r="54" spans="1:5" ht="33" customHeight="1">
      <c r="A54" s="79" t="s">
        <v>218</v>
      </c>
      <c r="B54" s="79"/>
      <c r="C54" s="79"/>
      <c r="D54" s="45" t="b">
        <v>0</v>
      </c>
      <c r="E54">
        <f t="shared" si="0"/>
        <v>0</v>
      </c>
    </row>
    <row r="55" spans="1:5" ht="33" customHeight="1">
      <c r="A55" s="79" t="s">
        <v>219</v>
      </c>
      <c r="B55" s="79"/>
      <c r="C55" s="79"/>
      <c r="D55" s="45" t="b">
        <v>0</v>
      </c>
      <c r="E55">
        <f t="shared" si="0"/>
        <v>0</v>
      </c>
    </row>
    <row r="56" spans="1:5" ht="33" customHeight="1">
      <c r="A56" s="79" t="s">
        <v>220</v>
      </c>
      <c r="B56" s="79"/>
      <c r="C56" s="79"/>
      <c r="D56" s="45" t="b">
        <v>0</v>
      </c>
      <c r="E56">
        <f t="shared" si="0"/>
        <v>0</v>
      </c>
    </row>
    <row r="57" spans="1:5" ht="33" customHeight="1">
      <c r="A57" s="79" t="s">
        <v>221</v>
      </c>
      <c r="B57" s="79"/>
      <c r="C57" s="79"/>
      <c r="D57" s="45" t="b">
        <v>0</v>
      </c>
      <c r="E57">
        <f t="shared" si="0"/>
        <v>0</v>
      </c>
    </row>
    <row r="58" spans="1:5" ht="33" customHeight="1">
      <c r="A58" s="79" t="s">
        <v>222</v>
      </c>
      <c r="B58" s="79"/>
      <c r="C58" s="79"/>
      <c r="D58" s="45" t="b">
        <v>0</v>
      </c>
      <c r="E58">
        <f t="shared" si="0"/>
        <v>0</v>
      </c>
    </row>
    <row r="59" spans="1:5" ht="33" customHeight="1">
      <c r="A59" s="79" t="s">
        <v>223</v>
      </c>
      <c r="B59" s="79"/>
      <c r="C59" s="79"/>
      <c r="D59" s="45" t="b">
        <v>0</v>
      </c>
      <c r="E59">
        <f t="shared" si="0"/>
        <v>0</v>
      </c>
    </row>
    <row r="60" spans="1:5" ht="33" customHeight="1">
      <c r="A60" s="80" t="s">
        <v>224</v>
      </c>
      <c r="B60" s="80"/>
      <c r="C60" s="80"/>
      <c r="D60" s="45" t="b">
        <v>0</v>
      </c>
      <c r="E60">
        <f t="shared" si="0"/>
        <v>0</v>
      </c>
    </row>
    <row r="61" spans="1:5">
      <c r="E61">
        <f>SUM(E7:E60)</f>
        <v>0</v>
      </c>
    </row>
  </sheetData>
  <sheetProtection sheet="1" objects="1" scenarios="1" selectLockedCells="1"/>
  <mergeCells count="59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43:C43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55:C55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6:C56"/>
    <mergeCell ref="A57:C57"/>
    <mergeCell ref="A58:C58"/>
    <mergeCell ref="A59:C59"/>
    <mergeCell ref="A60:C60"/>
  </mergeCells>
  <conditionalFormatting sqref="A7">
    <cfRule type="duplicateValues" dxfId="67" priority="1"/>
  </conditionalFormatting>
  <conditionalFormatting sqref="A8:A60">
    <cfRule type="duplicateValues" dxfId="66" priority="2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Лист15"/>
  <dimension ref="A1:E40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34.5" customHeight="1">
      <c r="A7" s="79" t="s">
        <v>225</v>
      </c>
      <c r="B7" s="79"/>
      <c r="C7" s="79"/>
      <c r="D7" s="45" t="b">
        <v>1</v>
      </c>
      <c r="E7">
        <f>IF(LEN(D7)&gt;4,1,0)</f>
        <v>1</v>
      </c>
    </row>
    <row r="8" spans="1:5" ht="34.5" customHeight="1">
      <c r="A8" s="79" t="s">
        <v>226</v>
      </c>
      <c r="B8" s="79"/>
      <c r="C8" s="79"/>
      <c r="D8" s="45" t="b">
        <v>1</v>
      </c>
      <c r="E8">
        <f t="shared" ref="E8:E39" si="0">IF(LEN(D8)&gt;4,1,0)</f>
        <v>1</v>
      </c>
    </row>
    <row r="9" spans="1:5" ht="34.5" customHeight="1">
      <c r="A9" s="79" t="s">
        <v>227</v>
      </c>
      <c r="B9" s="79"/>
      <c r="C9" s="79"/>
      <c r="D9" s="45" t="b">
        <v>1</v>
      </c>
      <c r="E9">
        <f t="shared" si="0"/>
        <v>1</v>
      </c>
    </row>
    <row r="10" spans="1:5" ht="34.5" customHeight="1">
      <c r="A10" s="79" t="s">
        <v>79</v>
      </c>
      <c r="B10" s="79"/>
      <c r="C10" s="79"/>
      <c r="D10" s="45" t="b">
        <v>1</v>
      </c>
      <c r="E10">
        <f t="shared" si="0"/>
        <v>1</v>
      </c>
    </row>
    <row r="11" spans="1:5" ht="34.5" customHeight="1">
      <c r="A11" s="79" t="s">
        <v>228</v>
      </c>
      <c r="B11" s="79"/>
      <c r="C11" s="79"/>
      <c r="D11" s="45" t="b">
        <v>1</v>
      </c>
      <c r="E11">
        <f t="shared" si="0"/>
        <v>1</v>
      </c>
    </row>
    <row r="12" spans="1:5" ht="34.5" customHeight="1">
      <c r="A12" s="79" t="s">
        <v>229</v>
      </c>
      <c r="B12" s="79"/>
      <c r="C12" s="79"/>
      <c r="D12" s="45" t="b">
        <v>1</v>
      </c>
      <c r="E12">
        <f t="shared" si="0"/>
        <v>1</v>
      </c>
    </row>
    <row r="13" spans="1:5" ht="34.5" customHeight="1">
      <c r="A13" s="79" t="s">
        <v>230</v>
      </c>
      <c r="B13" s="79"/>
      <c r="C13" s="79"/>
      <c r="D13" s="45" t="b">
        <v>1</v>
      </c>
      <c r="E13">
        <f t="shared" si="0"/>
        <v>1</v>
      </c>
    </row>
    <row r="14" spans="1:5" ht="34.5" customHeight="1">
      <c r="A14" s="79" t="s">
        <v>231</v>
      </c>
      <c r="B14" s="79"/>
      <c r="C14" s="79"/>
      <c r="D14" s="45" t="b">
        <v>1</v>
      </c>
      <c r="E14">
        <f t="shared" si="0"/>
        <v>1</v>
      </c>
    </row>
    <row r="15" spans="1:5" ht="34.5" customHeight="1">
      <c r="A15" s="79" t="s">
        <v>232</v>
      </c>
      <c r="B15" s="79"/>
      <c r="C15" s="79"/>
      <c r="D15" s="45" t="b">
        <v>1</v>
      </c>
      <c r="E15">
        <f t="shared" si="0"/>
        <v>1</v>
      </c>
    </row>
    <row r="16" spans="1:5" ht="34.5" customHeight="1">
      <c r="A16" s="79" t="s">
        <v>85</v>
      </c>
      <c r="B16" s="79"/>
      <c r="C16" s="79"/>
      <c r="D16" s="45" t="b">
        <v>0</v>
      </c>
      <c r="E16">
        <f t="shared" si="0"/>
        <v>0</v>
      </c>
    </row>
    <row r="17" spans="1:5" ht="34.5" customHeight="1">
      <c r="A17" s="79" t="s">
        <v>87</v>
      </c>
      <c r="B17" s="79"/>
      <c r="C17" s="79"/>
      <c r="D17" s="45" t="b">
        <v>0</v>
      </c>
      <c r="E17">
        <f t="shared" si="0"/>
        <v>0</v>
      </c>
    </row>
    <row r="18" spans="1:5" ht="34.5" customHeight="1">
      <c r="A18" s="79" t="s">
        <v>233</v>
      </c>
      <c r="B18" s="79"/>
      <c r="C18" s="79"/>
      <c r="D18" s="45" t="b">
        <v>1</v>
      </c>
      <c r="E18">
        <f t="shared" si="0"/>
        <v>1</v>
      </c>
    </row>
    <row r="19" spans="1:5" ht="34.5" customHeight="1">
      <c r="A19" s="79" t="s">
        <v>234</v>
      </c>
      <c r="B19" s="79"/>
      <c r="C19" s="79"/>
      <c r="D19" s="45" t="b">
        <v>1</v>
      </c>
      <c r="E19">
        <f t="shared" si="0"/>
        <v>1</v>
      </c>
    </row>
    <row r="20" spans="1:5" ht="34.5" customHeight="1">
      <c r="A20" s="79" t="s">
        <v>235</v>
      </c>
      <c r="B20" s="79"/>
      <c r="C20" s="79"/>
      <c r="D20" s="45" t="b">
        <v>0</v>
      </c>
      <c r="E20">
        <f t="shared" si="0"/>
        <v>0</v>
      </c>
    </row>
    <row r="21" spans="1:5" ht="34.5" customHeight="1">
      <c r="A21" s="79" t="s">
        <v>236</v>
      </c>
      <c r="B21" s="79"/>
      <c r="C21" s="79"/>
      <c r="D21" s="45" t="b">
        <v>0</v>
      </c>
      <c r="E21">
        <f t="shared" si="0"/>
        <v>0</v>
      </c>
    </row>
    <row r="22" spans="1:5" ht="34.5" customHeight="1">
      <c r="A22" s="79" t="s">
        <v>237</v>
      </c>
      <c r="B22" s="79"/>
      <c r="C22" s="79"/>
      <c r="D22" s="45" t="b">
        <v>0</v>
      </c>
      <c r="E22">
        <f t="shared" si="0"/>
        <v>0</v>
      </c>
    </row>
    <row r="23" spans="1:5" ht="34.5" customHeight="1">
      <c r="A23" s="79" t="s">
        <v>238</v>
      </c>
      <c r="B23" s="79"/>
      <c r="C23" s="79"/>
      <c r="D23" s="45" t="b">
        <v>0</v>
      </c>
      <c r="E23">
        <f t="shared" si="0"/>
        <v>0</v>
      </c>
    </row>
    <row r="24" spans="1:5" ht="34.5" customHeight="1">
      <c r="A24" s="79" t="s">
        <v>239</v>
      </c>
      <c r="B24" s="79"/>
      <c r="C24" s="79"/>
      <c r="D24" s="45" t="b">
        <v>1</v>
      </c>
      <c r="E24">
        <f t="shared" si="0"/>
        <v>1</v>
      </c>
    </row>
    <row r="25" spans="1:5" ht="34.5" customHeight="1">
      <c r="A25" s="79" t="s">
        <v>101</v>
      </c>
      <c r="B25" s="79"/>
      <c r="C25" s="79"/>
      <c r="D25" s="45" t="b">
        <v>0</v>
      </c>
      <c r="E25">
        <f t="shared" si="0"/>
        <v>0</v>
      </c>
    </row>
    <row r="26" spans="1:5" ht="34.5" customHeight="1">
      <c r="A26" s="79" t="s">
        <v>240</v>
      </c>
      <c r="B26" s="79"/>
      <c r="C26" s="79"/>
      <c r="D26" s="45" t="b">
        <v>0</v>
      </c>
      <c r="E26">
        <f t="shared" si="0"/>
        <v>0</v>
      </c>
    </row>
    <row r="27" spans="1:5" ht="34.5" customHeight="1">
      <c r="A27" s="79" t="s">
        <v>241</v>
      </c>
      <c r="B27" s="79"/>
      <c r="C27" s="79"/>
      <c r="D27" s="45" t="b">
        <v>0</v>
      </c>
      <c r="E27">
        <f t="shared" si="0"/>
        <v>0</v>
      </c>
    </row>
    <row r="28" spans="1:5" ht="49.5" customHeight="1">
      <c r="A28" s="79" t="s">
        <v>242</v>
      </c>
      <c r="B28" s="79"/>
      <c r="C28" s="79"/>
      <c r="D28" s="45" t="b">
        <v>1</v>
      </c>
      <c r="E28">
        <f t="shared" si="0"/>
        <v>1</v>
      </c>
    </row>
    <row r="29" spans="1:5" ht="34.5" customHeight="1">
      <c r="A29" s="79" t="s">
        <v>243</v>
      </c>
      <c r="B29" s="79"/>
      <c r="C29" s="79"/>
      <c r="D29" s="45" t="b">
        <v>0</v>
      </c>
      <c r="E29">
        <f t="shared" si="0"/>
        <v>0</v>
      </c>
    </row>
    <row r="30" spans="1:5" ht="34.5" customHeight="1">
      <c r="A30" s="79" t="s">
        <v>244</v>
      </c>
      <c r="B30" s="79"/>
      <c r="C30" s="79"/>
      <c r="D30" s="45" t="b">
        <v>0</v>
      </c>
      <c r="E30">
        <f t="shared" si="0"/>
        <v>0</v>
      </c>
    </row>
    <row r="31" spans="1:5" ht="34.5" customHeight="1">
      <c r="A31" s="79" t="s">
        <v>245</v>
      </c>
      <c r="B31" s="79"/>
      <c r="C31" s="79"/>
      <c r="D31" s="45" t="b">
        <v>0</v>
      </c>
      <c r="E31">
        <f t="shared" si="0"/>
        <v>0</v>
      </c>
    </row>
    <row r="32" spans="1:5" ht="34.5" customHeight="1">
      <c r="A32" s="79" t="s">
        <v>246</v>
      </c>
      <c r="B32" s="79"/>
      <c r="C32" s="79"/>
      <c r="D32" s="45" t="b">
        <v>1</v>
      </c>
      <c r="E32">
        <f t="shared" si="0"/>
        <v>1</v>
      </c>
    </row>
    <row r="33" spans="1:5" ht="34.5" customHeight="1">
      <c r="A33" s="79" t="s">
        <v>247</v>
      </c>
      <c r="B33" s="79"/>
      <c r="C33" s="79"/>
      <c r="D33" s="45" t="b">
        <v>0</v>
      </c>
      <c r="E33">
        <f t="shared" si="0"/>
        <v>0</v>
      </c>
    </row>
    <row r="34" spans="1:5" ht="34.5" customHeight="1">
      <c r="A34" s="79" t="s">
        <v>248</v>
      </c>
      <c r="B34" s="79"/>
      <c r="C34" s="79"/>
      <c r="D34" s="45" t="b">
        <v>0</v>
      </c>
      <c r="E34">
        <f t="shared" si="0"/>
        <v>0</v>
      </c>
    </row>
    <row r="35" spans="1:5" ht="34.5" customHeight="1">
      <c r="A35" s="79" t="s">
        <v>249</v>
      </c>
      <c r="B35" s="79"/>
      <c r="C35" s="79"/>
      <c r="D35" s="45" t="b">
        <v>0</v>
      </c>
      <c r="E35">
        <f t="shared" si="0"/>
        <v>0</v>
      </c>
    </row>
    <row r="36" spans="1:5" ht="34.5" customHeight="1">
      <c r="A36" s="79" t="s">
        <v>250</v>
      </c>
      <c r="B36" s="79"/>
      <c r="C36" s="79"/>
      <c r="D36" s="45" t="b">
        <v>0</v>
      </c>
      <c r="E36">
        <f t="shared" si="0"/>
        <v>0</v>
      </c>
    </row>
    <row r="37" spans="1:5" ht="54.75" customHeight="1">
      <c r="A37" s="79" t="s">
        <v>251</v>
      </c>
      <c r="B37" s="79"/>
      <c r="C37" s="79"/>
      <c r="D37" s="45" t="b">
        <v>0</v>
      </c>
      <c r="E37">
        <f t="shared" si="0"/>
        <v>0</v>
      </c>
    </row>
    <row r="38" spans="1:5" ht="34.5" customHeight="1">
      <c r="A38" s="79" t="s">
        <v>252</v>
      </c>
      <c r="B38" s="79"/>
      <c r="C38" s="79"/>
      <c r="D38" s="45" t="b">
        <v>0</v>
      </c>
      <c r="E38">
        <f t="shared" si="0"/>
        <v>0</v>
      </c>
    </row>
    <row r="39" spans="1:5" ht="34.5" customHeight="1">
      <c r="A39" s="80" t="s">
        <v>253</v>
      </c>
      <c r="B39" s="80"/>
      <c r="C39" s="80"/>
      <c r="D39" s="45" t="b">
        <v>0</v>
      </c>
      <c r="E39">
        <f t="shared" si="0"/>
        <v>0</v>
      </c>
    </row>
    <row r="40" spans="1:5">
      <c r="E40">
        <f>SUM(E7:E39)</f>
        <v>14</v>
      </c>
    </row>
  </sheetData>
  <sheetProtection sheet="1" objects="1" scenarios="1" selectLockedCells="1"/>
  <mergeCells count="38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8:C38"/>
    <mergeCell ref="A39:C39"/>
    <mergeCell ref="A32:C32"/>
    <mergeCell ref="A33:C33"/>
    <mergeCell ref="A34:C34"/>
    <mergeCell ref="A35:C35"/>
    <mergeCell ref="A36:C36"/>
    <mergeCell ref="A37:C37"/>
  </mergeCells>
  <conditionalFormatting sqref="A7">
    <cfRule type="duplicateValues" dxfId="65" priority="2"/>
  </conditionalFormatting>
  <conditionalFormatting sqref="A8:A39">
    <cfRule type="duplicateValues" dxfId="64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Лист16"/>
  <dimension ref="A1:E40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34.5" customHeight="1">
      <c r="A7" s="79" t="s">
        <v>225</v>
      </c>
      <c r="B7" s="79"/>
      <c r="C7" s="79"/>
      <c r="D7" s="45" t="b">
        <v>1</v>
      </c>
      <c r="E7">
        <f>IF(LEN(D7)&gt;4,1,0)</f>
        <v>1</v>
      </c>
    </row>
    <row r="8" spans="1:5" ht="34.5" customHeight="1">
      <c r="A8" s="79" t="s">
        <v>226</v>
      </c>
      <c r="B8" s="79"/>
      <c r="C8" s="79"/>
      <c r="D8" s="45" t="b">
        <v>1</v>
      </c>
      <c r="E8">
        <f t="shared" ref="E8:E39" si="0">IF(LEN(D8)&gt;4,1,0)</f>
        <v>1</v>
      </c>
    </row>
    <row r="9" spans="1:5" ht="34.5" customHeight="1">
      <c r="A9" s="79" t="s">
        <v>227</v>
      </c>
      <c r="B9" s="79"/>
      <c r="C9" s="79"/>
      <c r="D9" s="45" t="b">
        <v>1</v>
      </c>
      <c r="E9">
        <f t="shared" si="0"/>
        <v>1</v>
      </c>
    </row>
    <row r="10" spans="1:5" ht="34.5" customHeight="1">
      <c r="A10" s="79" t="s">
        <v>79</v>
      </c>
      <c r="B10" s="79"/>
      <c r="C10" s="79"/>
      <c r="D10" s="45" t="b">
        <v>1</v>
      </c>
      <c r="E10">
        <f t="shared" si="0"/>
        <v>1</v>
      </c>
    </row>
    <row r="11" spans="1:5" ht="34.5" customHeight="1">
      <c r="A11" s="79" t="s">
        <v>228</v>
      </c>
      <c r="B11" s="79"/>
      <c r="C11" s="79"/>
      <c r="D11" s="45" t="b">
        <v>1</v>
      </c>
      <c r="E11">
        <f t="shared" si="0"/>
        <v>1</v>
      </c>
    </row>
    <row r="12" spans="1:5" ht="34.5" customHeight="1">
      <c r="A12" s="79" t="s">
        <v>229</v>
      </c>
      <c r="B12" s="79"/>
      <c r="C12" s="79"/>
      <c r="D12" s="45" t="b">
        <v>1</v>
      </c>
      <c r="E12">
        <f t="shared" si="0"/>
        <v>1</v>
      </c>
    </row>
    <row r="13" spans="1:5" ht="34.5" customHeight="1">
      <c r="A13" s="79" t="s">
        <v>230</v>
      </c>
      <c r="B13" s="79"/>
      <c r="C13" s="79"/>
      <c r="D13" s="45" t="b">
        <v>1</v>
      </c>
      <c r="E13">
        <f t="shared" si="0"/>
        <v>1</v>
      </c>
    </row>
    <row r="14" spans="1:5" ht="34.5" customHeight="1">
      <c r="A14" s="79" t="s">
        <v>231</v>
      </c>
      <c r="B14" s="79"/>
      <c r="C14" s="79"/>
      <c r="D14" s="45" t="b">
        <v>1</v>
      </c>
      <c r="E14">
        <f t="shared" si="0"/>
        <v>1</v>
      </c>
    </row>
    <row r="15" spans="1:5" ht="34.5" customHeight="1">
      <c r="A15" s="79" t="s">
        <v>232</v>
      </c>
      <c r="B15" s="79"/>
      <c r="C15" s="79"/>
      <c r="D15" s="45" t="b">
        <v>1</v>
      </c>
      <c r="E15">
        <f t="shared" si="0"/>
        <v>1</v>
      </c>
    </row>
    <row r="16" spans="1:5" ht="34.5" customHeight="1">
      <c r="A16" s="79" t="s">
        <v>85</v>
      </c>
      <c r="B16" s="79"/>
      <c r="C16" s="79"/>
      <c r="D16" s="45" t="b">
        <v>0</v>
      </c>
      <c r="E16">
        <f t="shared" si="0"/>
        <v>0</v>
      </c>
    </row>
    <row r="17" spans="1:5" ht="34.5" customHeight="1">
      <c r="A17" s="79" t="s">
        <v>87</v>
      </c>
      <c r="B17" s="79"/>
      <c r="C17" s="79"/>
      <c r="D17" s="45" t="b">
        <v>1</v>
      </c>
      <c r="E17">
        <f t="shared" si="0"/>
        <v>1</v>
      </c>
    </row>
    <row r="18" spans="1:5" ht="34.5" customHeight="1">
      <c r="A18" s="79" t="s">
        <v>233</v>
      </c>
      <c r="B18" s="79"/>
      <c r="C18" s="79"/>
      <c r="D18" s="45" t="b">
        <v>1</v>
      </c>
      <c r="E18">
        <f t="shared" si="0"/>
        <v>1</v>
      </c>
    </row>
    <row r="19" spans="1:5" ht="34.5" customHeight="1">
      <c r="A19" s="79" t="s">
        <v>234</v>
      </c>
      <c r="B19" s="79"/>
      <c r="C19" s="79"/>
      <c r="D19" s="45" t="b">
        <v>1</v>
      </c>
      <c r="E19">
        <f t="shared" si="0"/>
        <v>1</v>
      </c>
    </row>
    <row r="20" spans="1:5" ht="34.5" customHeight="1">
      <c r="A20" s="79" t="s">
        <v>235</v>
      </c>
      <c r="B20" s="79"/>
      <c r="C20" s="79"/>
      <c r="D20" s="45" t="b">
        <v>0</v>
      </c>
      <c r="E20">
        <f t="shared" si="0"/>
        <v>0</v>
      </c>
    </row>
    <row r="21" spans="1:5" ht="34.5" customHeight="1">
      <c r="A21" s="79" t="s">
        <v>236</v>
      </c>
      <c r="B21" s="79"/>
      <c r="C21" s="79"/>
      <c r="D21" s="45" t="b">
        <v>0</v>
      </c>
      <c r="E21">
        <f t="shared" si="0"/>
        <v>0</v>
      </c>
    </row>
    <row r="22" spans="1:5" ht="34.5" customHeight="1">
      <c r="A22" s="79" t="s">
        <v>237</v>
      </c>
      <c r="B22" s="79"/>
      <c r="C22" s="79"/>
      <c r="D22" s="45" t="b">
        <v>0</v>
      </c>
      <c r="E22">
        <f t="shared" si="0"/>
        <v>0</v>
      </c>
    </row>
    <row r="23" spans="1:5" ht="34.5" customHeight="1">
      <c r="A23" s="79" t="s">
        <v>238</v>
      </c>
      <c r="B23" s="79"/>
      <c r="C23" s="79"/>
      <c r="D23" s="45" t="b">
        <v>0</v>
      </c>
      <c r="E23">
        <f t="shared" si="0"/>
        <v>0</v>
      </c>
    </row>
    <row r="24" spans="1:5" ht="34.5" customHeight="1">
      <c r="A24" s="79" t="s">
        <v>239</v>
      </c>
      <c r="B24" s="79"/>
      <c r="C24" s="79"/>
      <c r="D24" s="45" t="b">
        <v>0</v>
      </c>
      <c r="E24">
        <f t="shared" si="0"/>
        <v>0</v>
      </c>
    </row>
    <row r="25" spans="1:5" ht="34.5" customHeight="1">
      <c r="A25" s="79" t="s">
        <v>101</v>
      </c>
      <c r="B25" s="79"/>
      <c r="C25" s="79"/>
      <c r="D25" s="45" t="b">
        <v>0</v>
      </c>
      <c r="E25">
        <f t="shared" si="0"/>
        <v>0</v>
      </c>
    </row>
    <row r="26" spans="1:5" ht="34.5" customHeight="1">
      <c r="A26" s="79" t="s">
        <v>240</v>
      </c>
      <c r="B26" s="79"/>
      <c r="C26" s="79"/>
      <c r="D26" s="45" t="b">
        <v>0</v>
      </c>
      <c r="E26">
        <f t="shared" si="0"/>
        <v>0</v>
      </c>
    </row>
    <row r="27" spans="1:5" ht="34.5" customHeight="1">
      <c r="A27" s="79" t="s">
        <v>241</v>
      </c>
      <c r="B27" s="79"/>
      <c r="C27" s="79"/>
      <c r="D27" s="45" t="b">
        <v>0</v>
      </c>
      <c r="E27">
        <f t="shared" si="0"/>
        <v>0</v>
      </c>
    </row>
    <row r="28" spans="1:5" ht="49.5" customHeight="1">
      <c r="A28" s="79" t="s">
        <v>242</v>
      </c>
      <c r="B28" s="79"/>
      <c r="C28" s="79"/>
      <c r="D28" s="45" t="b">
        <v>1</v>
      </c>
      <c r="E28">
        <f t="shared" si="0"/>
        <v>1</v>
      </c>
    </row>
    <row r="29" spans="1:5" ht="34.5" customHeight="1">
      <c r="A29" s="79" t="s">
        <v>243</v>
      </c>
      <c r="B29" s="79"/>
      <c r="C29" s="79"/>
      <c r="D29" s="45" t="b">
        <v>0</v>
      </c>
      <c r="E29">
        <f t="shared" si="0"/>
        <v>0</v>
      </c>
    </row>
    <row r="30" spans="1:5" ht="34.5" customHeight="1">
      <c r="A30" s="79" t="s">
        <v>244</v>
      </c>
      <c r="B30" s="79"/>
      <c r="C30" s="79"/>
      <c r="D30" s="45" t="b">
        <v>0</v>
      </c>
      <c r="E30">
        <f t="shared" si="0"/>
        <v>0</v>
      </c>
    </row>
    <row r="31" spans="1:5" ht="34.5" customHeight="1">
      <c r="A31" s="79" t="s">
        <v>245</v>
      </c>
      <c r="B31" s="79"/>
      <c r="C31" s="79"/>
      <c r="D31" s="45" t="b">
        <v>0</v>
      </c>
      <c r="E31">
        <f t="shared" si="0"/>
        <v>0</v>
      </c>
    </row>
    <row r="32" spans="1:5" ht="34.5" customHeight="1">
      <c r="A32" s="79" t="s">
        <v>246</v>
      </c>
      <c r="B32" s="79"/>
      <c r="C32" s="79"/>
      <c r="D32" s="45" t="b">
        <v>0</v>
      </c>
      <c r="E32">
        <f t="shared" si="0"/>
        <v>0</v>
      </c>
    </row>
    <row r="33" spans="1:5" ht="34.5" customHeight="1">
      <c r="A33" s="79" t="s">
        <v>247</v>
      </c>
      <c r="B33" s="79"/>
      <c r="C33" s="79"/>
      <c r="D33" s="45" t="b">
        <v>0</v>
      </c>
      <c r="E33">
        <f t="shared" si="0"/>
        <v>0</v>
      </c>
    </row>
    <row r="34" spans="1:5" ht="34.5" customHeight="1">
      <c r="A34" s="79" t="s">
        <v>248</v>
      </c>
      <c r="B34" s="79"/>
      <c r="C34" s="79"/>
      <c r="D34" s="45" t="b">
        <v>0</v>
      </c>
      <c r="E34">
        <f t="shared" si="0"/>
        <v>0</v>
      </c>
    </row>
    <row r="35" spans="1:5" ht="34.5" customHeight="1">
      <c r="A35" s="79" t="s">
        <v>249</v>
      </c>
      <c r="B35" s="79"/>
      <c r="C35" s="79"/>
      <c r="D35" s="45" t="b">
        <v>0</v>
      </c>
      <c r="E35">
        <f t="shared" si="0"/>
        <v>0</v>
      </c>
    </row>
    <row r="36" spans="1:5" ht="34.5" customHeight="1">
      <c r="A36" s="79" t="s">
        <v>250</v>
      </c>
      <c r="B36" s="79"/>
      <c r="C36" s="79"/>
      <c r="D36" s="45" t="b">
        <v>0</v>
      </c>
      <c r="E36">
        <f t="shared" si="0"/>
        <v>0</v>
      </c>
    </row>
    <row r="37" spans="1:5" ht="54.75" customHeight="1">
      <c r="A37" s="79" t="s">
        <v>251</v>
      </c>
      <c r="B37" s="79"/>
      <c r="C37" s="79"/>
      <c r="D37" s="45" t="b">
        <v>0</v>
      </c>
      <c r="E37">
        <f t="shared" si="0"/>
        <v>0</v>
      </c>
    </row>
    <row r="38" spans="1:5" ht="34.5" customHeight="1">
      <c r="A38" s="79" t="s">
        <v>252</v>
      </c>
      <c r="B38" s="79"/>
      <c r="C38" s="79"/>
      <c r="D38" s="45" t="b">
        <v>0</v>
      </c>
      <c r="E38">
        <f t="shared" si="0"/>
        <v>0</v>
      </c>
    </row>
    <row r="39" spans="1:5" ht="34.5" customHeight="1">
      <c r="A39" s="80" t="s">
        <v>253</v>
      </c>
      <c r="B39" s="80"/>
      <c r="C39" s="80"/>
      <c r="D39" s="45" t="b">
        <v>0</v>
      </c>
      <c r="E39">
        <f t="shared" si="0"/>
        <v>0</v>
      </c>
    </row>
    <row r="40" spans="1:5">
      <c r="E40">
        <f>SUM(E7:E39)</f>
        <v>13</v>
      </c>
    </row>
  </sheetData>
  <sheetProtection sheet="1" objects="1" scenarios="1" selectLockedCells="1"/>
  <mergeCells count="38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8:C38"/>
    <mergeCell ref="A39:C39"/>
    <mergeCell ref="A32:C32"/>
    <mergeCell ref="A33:C33"/>
    <mergeCell ref="A34:C34"/>
    <mergeCell ref="A35:C35"/>
    <mergeCell ref="A36:C36"/>
    <mergeCell ref="A37:C37"/>
  </mergeCells>
  <conditionalFormatting sqref="A7">
    <cfRule type="duplicateValues" dxfId="63" priority="2"/>
  </conditionalFormatting>
  <conditionalFormatting sqref="A8:A39">
    <cfRule type="duplicateValues" dxfId="62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Лист17"/>
  <dimension ref="A1:E40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34.5" customHeight="1">
      <c r="A7" s="79" t="s">
        <v>225</v>
      </c>
      <c r="B7" s="79"/>
      <c r="C7" s="79"/>
      <c r="D7" s="45" t="b">
        <v>0</v>
      </c>
      <c r="E7">
        <f>IF(LEN(D7)&gt;4,1,0)</f>
        <v>0</v>
      </c>
    </row>
    <row r="8" spans="1:5" ht="34.5" customHeight="1">
      <c r="A8" s="79" t="s">
        <v>226</v>
      </c>
      <c r="B8" s="79"/>
      <c r="C8" s="79"/>
      <c r="D8" s="45" t="b">
        <v>0</v>
      </c>
      <c r="E8">
        <f t="shared" ref="E8:E39" si="0">IF(LEN(D8)&gt;4,1,0)</f>
        <v>0</v>
      </c>
    </row>
    <row r="9" spans="1:5" ht="34.5" customHeight="1">
      <c r="A9" s="79" t="s">
        <v>227</v>
      </c>
      <c r="B9" s="79"/>
      <c r="C9" s="79"/>
      <c r="D9" s="45" t="b">
        <v>0</v>
      </c>
      <c r="E9">
        <f t="shared" si="0"/>
        <v>0</v>
      </c>
    </row>
    <row r="10" spans="1:5" ht="34.5" customHeight="1">
      <c r="A10" s="79" t="s">
        <v>79</v>
      </c>
      <c r="B10" s="79"/>
      <c r="C10" s="79"/>
      <c r="D10" s="45" t="b">
        <v>0</v>
      </c>
      <c r="E10">
        <f t="shared" si="0"/>
        <v>0</v>
      </c>
    </row>
    <row r="11" spans="1:5" ht="34.5" customHeight="1">
      <c r="A11" s="79" t="s">
        <v>228</v>
      </c>
      <c r="B11" s="79"/>
      <c r="C11" s="79"/>
      <c r="D11" s="45" t="b">
        <v>0</v>
      </c>
      <c r="E11">
        <f t="shared" si="0"/>
        <v>0</v>
      </c>
    </row>
    <row r="12" spans="1:5" ht="34.5" customHeight="1">
      <c r="A12" s="79" t="s">
        <v>229</v>
      </c>
      <c r="B12" s="79"/>
      <c r="C12" s="79"/>
      <c r="D12" s="45" t="b">
        <v>0</v>
      </c>
      <c r="E12">
        <f t="shared" si="0"/>
        <v>0</v>
      </c>
    </row>
    <row r="13" spans="1:5" ht="34.5" customHeight="1">
      <c r="A13" s="79" t="s">
        <v>230</v>
      </c>
      <c r="B13" s="79"/>
      <c r="C13" s="79"/>
      <c r="D13" s="45" t="b">
        <v>0</v>
      </c>
      <c r="E13">
        <f t="shared" si="0"/>
        <v>0</v>
      </c>
    </row>
    <row r="14" spans="1:5" ht="34.5" customHeight="1">
      <c r="A14" s="79" t="s">
        <v>231</v>
      </c>
      <c r="B14" s="79"/>
      <c r="C14" s="79"/>
      <c r="D14" s="45" t="b">
        <v>0</v>
      </c>
      <c r="E14">
        <f t="shared" si="0"/>
        <v>0</v>
      </c>
    </row>
    <row r="15" spans="1:5" ht="34.5" customHeight="1">
      <c r="A15" s="79" t="s">
        <v>232</v>
      </c>
      <c r="B15" s="79"/>
      <c r="C15" s="79"/>
      <c r="D15" s="45" t="b">
        <v>0</v>
      </c>
      <c r="E15">
        <f t="shared" si="0"/>
        <v>0</v>
      </c>
    </row>
    <row r="16" spans="1:5" ht="34.5" customHeight="1">
      <c r="A16" s="79" t="s">
        <v>85</v>
      </c>
      <c r="B16" s="79"/>
      <c r="C16" s="79"/>
      <c r="D16" s="45" t="b">
        <v>0</v>
      </c>
      <c r="E16">
        <f t="shared" si="0"/>
        <v>0</v>
      </c>
    </row>
    <row r="17" spans="1:5" ht="34.5" customHeight="1">
      <c r="A17" s="79" t="s">
        <v>87</v>
      </c>
      <c r="B17" s="79"/>
      <c r="C17" s="79"/>
      <c r="D17" s="45" t="b">
        <v>0</v>
      </c>
      <c r="E17">
        <f t="shared" si="0"/>
        <v>0</v>
      </c>
    </row>
    <row r="18" spans="1:5" ht="34.5" customHeight="1">
      <c r="A18" s="79" t="s">
        <v>233</v>
      </c>
      <c r="B18" s="79"/>
      <c r="C18" s="79"/>
      <c r="D18" s="45" t="b">
        <v>0</v>
      </c>
      <c r="E18">
        <f t="shared" si="0"/>
        <v>0</v>
      </c>
    </row>
    <row r="19" spans="1:5" ht="34.5" customHeight="1">
      <c r="A19" s="79" t="s">
        <v>234</v>
      </c>
      <c r="B19" s="79"/>
      <c r="C19" s="79"/>
      <c r="D19" s="45" t="b">
        <v>0</v>
      </c>
      <c r="E19">
        <f t="shared" si="0"/>
        <v>0</v>
      </c>
    </row>
    <row r="20" spans="1:5" ht="34.5" customHeight="1">
      <c r="A20" s="79" t="s">
        <v>235</v>
      </c>
      <c r="B20" s="79"/>
      <c r="C20" s="79"/>
      <c r="D20" s="45" t="b">
        <v>0</v>
      </c>
      <c r="E20">
        <f t="shared" si="0"/>
        <v>0</v>
      </c>
    </row>
    <row r="21" spans="1:5" ht="34.5" customHeight="1">
      <c r="A21" s="79" t="s">
        <v>236</v>
      </c>
      <c r="B21" s="79"/>
      <c r="C21" s="79"/>
      <c r="D21" s="45" t="b">
        <v>0</v>
      </c>
      <c r="E21">
        <f t="shared" si="0"/>
        <v>0</v>
      </c>
    </row>
    <row r="22" spans="1:5" ht="34.5" customHeight="1">
      <c r="A22" s="79" t="s">
        <v>237</v>
      </c>
      <c r="B22" s="79"/>
      <c r="C22" s="79"/>
      <c r="D22" s="45" t="b">
        <v>0</v>
      </c>
      <c r="E22">
        <f t="shared" si="0"/>
        <v>0</v>
      </c>
    </row>
    <row r="23" spans="1:5" ht="34.5" customHeight="1">
      <c r="A23" s="79" t="s">
        <v>238</v>
      </c>
      <c r="B23" s="79"/>
      <c r="C23" s="79"/>
      <c r="D23" s="45" t="b">
        <v>0</v>
      </c>
      <c r="E23">
        <f t="shared" si="0"/>
        <v>0</v>
      </c>
    </row>
    <row r="24" spans="1:5" ht="34.5" customHeight="1">
      <c r="A24" s="79" t="s">
        <v>239</v>
      </c>
      <c r="B24" s="79"/>
      <c r="C24" s="79"/>
      <c r="D24" s="45" t="b">
        <v>0</v>
      </c>
      <c r="E24">
        <f t="shared" si="0"/>
        <v>0</v>
      </c>
    </row>
    <row r="25" spans="1:5" ht="34.5" customHeight="1">
      <c r="A25" s="79" t="s">
        <v>101</v>
      </c>
      <c r="B25" s="79"/>
      <c r="C25" s="79"/>
      <c r="D25" s="45" t="b">
        <v>0</v>
      </c>
      <c r="E25">
        <f t="shared" si="0"/>
        <v>0</v>
      </c>
    </row>
    <row r="26" spans="1:5" ht="34.5" customHeight="1">
      <c r="A26" s="79" t="s">
        <v>240</v>
      </c>
      <c r="B26" s="79"/>
      <c r="C26" s="79"/>
      <c r="D26" s="45" t="b">
        <v>0</v>
      </c>
      <c r="E26">
        <f t="shared" si="0"/>
        <v>0</v>
      </c>
    </row>
    <row r="27" spans="1:5" ht="34.5" customHeight="1">
      <c r="A27" s="79" t="s">
        <v>241</v>
      </c>
      <c r="B27" s="79"/>
      <c r="C27" s="79"/>
      <c r="D27" s="45" t="b">
        <v>0</v>
      </c>
      <c r="E27">
        <f t="shared" si="0"/>
        <v>0</v>
      </c>
    </row>
    <row r="28" spans="1:5" ht="49.5" customHeight="1">
      <c r="A28" s="79" t="s">
        <v>242</v>
      </c>
      <c r="B28" s="79"/>
      <c r="C28" s="79"/>
      <c r="D28" s="45" t="b">
        <v>0</v>
      </c>
      <c r="E28">
        <f t="shared" si="0"/>
        <v>0</v>
      </c>
    </row>
    <row r="29" spans="1:5" ht="34.5" customHeight="1">
      <c r="A29" s="79" t="s">
        <v>243</v>
      </c>
      <c r="B29" s="79"/>
      <c r="C29" s="79"/>
      <c r="D29" s="45" t="b">
        <v>0</v>
      </c>
      <c r="E29">
        <f t="shared" si="0"/>
        <v>0</v>
      </c>
    </row>
    <row r="30" spans="1:5" ht="34.5" customHeight="1">
      <c r="A30" s="79" t="s">
        <v>244</v>
      </c>
      <c r="B30" s="79"/>
      <c r="C30" s="79"/>
      <c r="D30" s="45" t="b">
        <v>0</v>
      </c>
      <c r="E30">
        <f t="shared" si="0"/>
        <v>0</v>
      </c>
    </row>
    <row r="31" spans="1:5" ht="34.5" customHeight="1">
      <c r="A31" s="79" t="s">
        <v>245</v>
      </c>
      <c r="B31" s="79"/>
      <c r="C31" s="79"/>
      <c r="D31" s="45" t="b">
        <v>0</v>
      </c>
      <c r="E31">
        <f t="shared" si="0"/>
        <v>0</v>
      </c>
    </row>
    <row r="32" spans="1:5" ht="34.5" customHeight="1">
      <c r="A32" s="79" t="s">
        <v>246</v>
      </c>
      <c r="B32" s="79"/>
      <c r="C32" s="79"/>
      <c r="D32" s="45" t="b">
        <v>0</v>
      </c>
      <c r="E32">
        <f t="shared" si="0"/>
        <v>0</v>
      </c>
    </row>
    <row r="33" spans="1:5" ht="34.5" customHeight="1">
      <c r="A33" s="79" t="s">
        <v>247</v>
      </c>
      <c r="B33" s="79"/>
      <c r="C33" s="79"/>
      <c r="D33" s="45" t="b">
        <v>0</v>
      </c>
      <c r="E33">
        <f t="shared" si="0"/>
        <v>0</v>
      </c>
    </row>
    <row r="34" spans="1:5" ht="34.5" customHeight="1">
      <c r="A34" s="79" t="s">
        <v>248</v>
      </c>
      <c r="B34" s="79"/>
      <c r="C34" s="79"/>
      <c r="D34" s="45" t="b">
        <v>0</v>
      </c>
      <c r="E34">
        <f t="shared" si="0"/>
        <v>0</v>
      </c>
    </row>
    <row r="35" spans="1:5" ht="34.5" customHeight="1">
      <c r="A35" s="79" t="s">
        <v>249</v>
      </c>
      <c r="B35" s="79"/>
      <c r="C35" s="79"/>
      <c r="D35" s="45" t="b">
        <v>0</v>
      </c>
      <c r="E35">
        <f t="shared" si="0"/>
        <v>0</v>
      </c>
    </row>
    <row r="36" spans="1:5" ht="34.5" customHeight="1">
      <c r="A36" s="79" t="s">
        <v>250</v>
      </c>
      <c r="B36" s="79"/>
      <c r="C36" s="79"/>
      <c r="D36" s="45" t="b">
        <v>0</v>
      </c>
      <c r="E36">
        <f t="shared" si="0"/>
        <v>0</v>
      </c>
    </row>
    <row r="37" spans="1:5" ht="54.75" customHeight="1">
      <c r="A37" s="79" t="s">
        <v>251</v>
      </c>
      <c r="B37" s="79"/>
      <c r="C37" s="79"/>
      <c r="D37" s="45" t="b">
        <v>0</v>
      </c>
      <c r="E37">
        <f t="shared" si="0"/>
        <v>0</v>
      </c>
    </row>
    <row r="38" spans="1:5" ht="34.5" customHeight="1">
      <c r="A38" s="79" t="s">
        <v>252</v>
      </c>
      <c r="B38" s="79"/>
      <c r="C38" s="79"/>
      <c r="D38" s="45" t="b">
        <v>0</v>
      </c>
      <c r="E38">
        <f t="shared" si="0"/>
        <v>0</v>
      </c>
    </row>
    <row r="39" spans="1:5" ht="34.5" customHeight="1">
      <c r="A39" s="80" t="s">
        <v>253</v>
      </c>
      <c r="B39" s="80"/>
      <c r="C39" s="80"/>
      <c r="D39" s="45" t="b">
        <v>0</v>
      </c>
      <c r="E39">
        <f t="shared" si="0"/>
        <v>0</v>
      </c>
    </row>
    <row r="40" spans="1:5">
      <c r="E40">
        <f>SUM(E7:E39)</f>
        <v>0</v>
      </c>
    </row>
  </sheetData>
  <sheetProtection sheet="1" objects="1" scenarios="1" selectLockedCells="1"/>
  <mergeCells count="38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8:C38"/>
    <mergeCell ref="A39:C39"/>
    <mergeCell ref="A32:C32"/>
    <mergeCell ref="A33:C33"/>
    <mergeCell ref="A34:C34"/>
    <mergeCell ref="A35:C35"/>
    <mergeCell ref="A36:C36"/>
    <mergeCell ref="A37:C37"/>
  </mergeCells>
  <conditionalFormatting sqref="A7">
    <cfRule type="duplicateValues" dxfId="61" priority="2"/>
  </conditionalFormatting>
  <conditionalFormatting sqref="A8:A39">
    <cfRule type="duplicateValues" dxfId="60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 codeName="Лист18"/>
  <dimension ref="A1:E15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34.5" customHeight="1">
      <c r="A7" s="82" t="s">
        <v>254</v>
      </c>
      <c r="B7" s="82"/>
      <c r="C7" s="82"/>
      <c r="D7" s="45" t="b">
        <v>0</v>
      </c>
      <c r="E7">
        <f>IF(LEN(D7)&gt;4,1,0)</f>
        <v>0</v>
      </c>
    </row>
    <row r="8" spans="1:5" ht="34.5" customHeight="1">
      <c r="A8" s="82" t="s">
        <v>255</v>
      </c>
      <c r="B8" s="82"/>
      <c r="C8" s="82"/>
      <c r="D8" s="45" t="b">
        <v>0</v>
      </c>
      <c r="E8">
        <f t="shared" ref="E8:E14" si="0">IF(LEN(D8)&gt;4,1,0)</f>
        <v>0</v>
      </c>
    </row>
    <row r="9" spans="1:5" ht="34.5" customHeight="1">
      <c r="A9" s="82" t="s">
        <v>256</v>
      </c>
      <c r="B9" s="82"/>
      <c r="C9" s="82"/>
      <c r="D9" s="45" t="b">
        <v>0</v>
      </c>
      <c r="E9">
        <f t="shared" si="0"/>
        <v>0</v>
      </c>
    </row>
    <row r="10" spans="1:5" ht="34.5" customHeight="1">
      <c r="A10" s="82" t="s">
        <v>257</v>
      </c>
      <c r="B10" s="82"/>
      <c r="C10" s="82"/>
      <c r="D10" s="45" t="b">
        <v>0</v>
      </c>
      <c r="E10">
        <f t="shared" si="0"/>
        <v>0</v>
      </c>
    </row>
    <row r="11" spans="1:5" ht="34.5" customHeight="1">
      <c r="A11" s="82" t="s">
        <v>258</v>
      </c>
      <c r="B11" s="82"/>
      <c r="C11" s="82"/>
      <c r="D11" s="45" t="b">
        <v>0</v>
      </c>
      <c r="E11">
        <f t="shared" si="0"/>
        <v>0</v>
      </c>
    </row>
    <row r="12" spans="1:5" ht="34.5" customHeight="1">
      <c r="A12" s="82" t="s">
        <v>259</v>
      </c>
      <c r="B12" s="82"/>
      <c r="C12" s="82"/>
      <c r="D12" s="45" t="b">
        <v>0</v>
      </c>
      <c r="E12">
        <f t="shared" si="0"/>
        <v>0</v>
      </c>
    </row>
    <row r="13" spans="1:5" ht="34.5" customHeight="1">
      <c r="A13" s="82" t="s">
        <v>260</v>
      </c>
      <c r="B13" s="82"/>
      <c r="C13" s="82"/>
      <c r="D13" s="45" t="b">
        <v>0</v>
      </c>
      <c r="E13">
        <f t="shared" si="0"/>
        <v>0</v>
      </c>
    </row>
    <row r="14" spans="1:5" ht="34.5" customHeight="1">
      <c r="A14" s="81" t="s">
        <v>261</v>
      </c>
      <c r="B14" s="81"/>
      <c r="C14" s="81"/>
      <c r="D14" s="45" t="b">
        <v>0</v>
      </c>
      <c r="E14">
        <f t="shared" si="0"/>
        <v>0</v>
      </c>
    </row>
    <row r="15" spans="1:5">
      <c r="E15">
        <f>SUM(E7:E14)</f>
        <v>0</v>
      </c>
    </row>
  </sheetData>
  <sheetProtection sheet="1" objects="1" scenarios="1" selectLockedCells="1"/>
  <mergeCells count="13">
    <mergeCell ref="A7:C7"/>
    <mergeCell ref="A1:B1"/>
    <mergeCell ref="A2:D2"/>
    <mergeCell ref="A3:B3"/>
    <mergeCell ref="A4:B4"/>
    <mergeCell ref="A6:D6"/>
    <mergeCell ref="A14:C14"/>
    <mergeCell ref="A8:C8"/>
    <mergeCell ref="A9:C9"/>
    <mergeCell ref="A10:C10"/>
    <mergeCell ref="A11:C11"/>
    <mergeCell ref="A12:C12"/>
    <mergeCell ref="A13:C13"/>
  </mergeCells>
  <conditionalFormatting sqref="A7">
    <cfRule type="duplicateValues" dxfId="59" priority="3"/>
  </conditionalFormatting>
  <conditionalFormatting sqref="A8:A14">
    <cfRule type="duplicateValues" dxfId="58" priority="2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  <extLst xmlns:x14="http://schemas.microsoft.com/office/spreadsheetml/2009/9/main">
    <ext uri="{78C0D931-6437-407d-A8EE-F0AAD7539E65}">
      <x14:conditionalFormattings>
        <x14:conditionalFormatting xmlns:xm="http://schemas.microsoft.com/office/excel/2006/main">
          <x14:cfRule type="expression" priority="1" id="{58DCD273-D4CA-489C-B2CE-6BAC1EB260EA}">
            <xm:f>OR(Р1_УГТ_ЛП!$E$62&gt;0,Р1_УГТ_МИ!$E$61&gt;0,Р1_УГТ_КР!$E$40&gt;0,$E$15&gt;0)</xm:f>
            <x14:dxf/>
          </x14:cfRule>
          <xm:sqref>E8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>
  <sheetPr codeName="Лист19"/>
  <dimension ref="A1:E15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34.5" customHeight="1">
      <c r="A7" s="82" t="s">
        <v>254</v>
      </c>
      <c r="B7" s="82"/>
      <c r="C7" s="82"/>
      <c r="D7" s="45" t="b">
        <v>0</v>
      </c>
      <c r="E7">
        <f>IF(LEN(D7)&gt;4,1,0)</f>
        <v>0</v>
      </c>
    </row>
    <row r="8" spans="1:5" ht="34.5" customHeight="1">
      <c r="A8" s="82" t="s">
        <v>255</v>
      </c>
      <c r="B8" s="82"/>
      <c r="C8" s="82"/>
      <c r="D8" s="45" t="b">
        <v>0</v>
      </c>
      <c r="E8">
        <f t="shared" ref="E8:E14" si="0">IF(LEN(D8)&gt;4,1,0)</f>
        <v>0</v>
      </c>
    </row>
    <row r="9" spans="1:5" ht="34.5" customHeight="1">
      <c r="A9" s="82" t="s">
        <v>256</v>
      </c>
      <c r="B9" s="82"/>
      <c r="C9" s="82"/>
      <c r="D9" s="45" t="b">
        <v>0</v>
      </c>
      <c r="E9">
        <f t="shared" si="0"/>
        <v>0</v>
      </c>
    </row>
    <row r="10" spans="1:5" ht="34.5" customHeight="1">
      <c r="A10" s="82" t="s">
        <v>257</v>
      </c>
      <c r="B10" s="82"/>
      <c r="C10" s="82"/>
      <c r="D10" s="45" t="b">
        <v>0</v>
      </c>
      <c r="E10">
        <f t="shared" si="0"/>
        <v>0</v>
      </c>
    </row>
    <row r="11" spans="1:5" ht="34.5" customHeight="1">
      <c r="A11" s="82" t="s">
        <v>258</v>
      </c>
      <c r="B11" s="82"/>
      <c r="C11" s="82"/>
      <c r="D11" s="45" t="b">
        <v>0</v>
      </c>
      <c r="E11">
        <f t="shared" si="0"/>
        <v>0</v>
      </c>
    </row>
    <row r="12" spans="1:5" ht="34.5" customHeight="1">
      <c r="A12" s="82" t="s">
        <v>259</v>
      </c>
      <c r="B12" s="82"/>
      <c r="C12" s="82"/>
      <c r="D12" s="45" t="b">
        <v>0</v>
      </c>
      <c r="E12">
        <f t="shared" si="0"/>
        <v>0</v>
      </c>
    </row>
    <row r="13" spans="1:5" ht="34.5" customHeight="1">
      <c r="A13" s="82" t="s">
        <v>260</v>
      </c>
      <c r="B13" s="82"/>
      <c r="C13" s="82"/>
      <c r="D13" s="45" t="b">
        <v>0</v>
      </c>
      <c r="E13">
        <f t="shared" si="0"/>
        <v>0</v>
      </c>
    </row>
    <row r="14" spans="1:5" ht="34.5" customHeight="1">
      <c r="A14" s="81" t="s">
        <v>261</v>
      </c>
      <c r="B14" s="81"/>
      <c r="C14" s="81"/>
      <c r="D14" s="45" t="b">
        <v>0</v>
      </c>
      <c r="E14">
        <f t="shared" si="0"/>
        <v>0</v>
      </c>
    </row>
    <row r="15" spans="1:5">
      <c r="E15">
        <f>SUM(E7:E14)</f>
        <v>0</v>
      </c>
    </row>
  </sheetData>
  <sheetProtection sheet="1" objects="1" scenarios="1" selectLockedCells="1"/>
  <mergeCells count="13">
    <mergeCell ref="A7:C7"/>
    <mergeCell ref="A1:B1"/>
    <mergeCell ref="A2:D2"/>
    <mergeCell ref="A3:B3"/>
    <mergeCell ref="A4:B4"/>
    <mergeCell ref="A6:D6"/>
    <mergeCell ref="A14:C14"/>
    <mergeCell ref="A8:C8"/>
    <mergeCell ref="A9:C9"/>
    <mergeCell ref="A10:C10"/>
    <mergeCell ref="A11:C11"/>
    <mergeCell ref="A12:C12"/>
    <mergeCell ref="A13:C13"/>
  </mergeCells>
  <conditionalFormatting sqref="A7">
    <cfRule type="duplicateValues" dxfId="57" priority="2"/>
  </conditionalFormatting>
  <conditionalFormatting sqref="A8:A14">
    <cfRule type="duplicateValues" dxfId="56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 codeName="Лист20"/>
  <dimension ref="A1:E15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3.25" customHeight="1">
      <c r="A2" s="71" t="s">
        <v>264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3.25" customHeight="1">
      <c r="A6" s="78" t="s">
        <v>395</v>
      </c>
      <c r="B6" s="78"/>
      <c r="C6" s="78"/>
      <c r="D6" s="78"/>
    </row>
    <row r="7" spans="1:5" ht="34.5" customHeight="1">
      <c r="A7" s="82" t="s">
        <v>254</v>
      </c>
      <c r="B7" s="82"/>
      <c r="C7" s="82"/>
      <c r="D7" s="45" t="b">
        <v>1</v>
      </c>
      <c r="E7">
        <f>IF(LEN(D7)&gt;4,1,0)</f>
        <v>1</v>
      </c>
    </row>
    <row r="8" spans="1:5" ht="34.5" customHeight="1">
      <c r="A8" s="82" t="s">
        <v>255</v>
      </c>
      <c r="B8" s="82"/>
      <c r="C8" s="82"/>
      <c r="D8" s="45" t="b">
        <v>1</v>
      </c>
      <c r="E8">
        <f t="shared" ref="E8:E14" si="0">IF(LEN(D8)&gt;4,1,0)</f>
        <v>1</v>
      </c>
    </row>
    <row r="9" spans="1:5" ht="34.5" customHeight="1">
      <c r="A9" s="82" t="s">
        <v>256</v>
      </c>
      <c r="B9" s="82"/>
      <c r="C9" s="82"/>
      <c r="D9" s="45" t="b">
        <v>1</v>
      </c>
      <c r="E9">
        <f t="shared" si="0"/>
        <v>1</v>
      </c>
    </row>
    <row r="10" spans="1:5" ht="34.5" customHeight="1">
      <c r="A10" s="82" t="s">
        <v>257</v>
      </c>
      <c r="B10" s="82"/>
      <c r="C10" s="82"/>
      <c r="D10" s="45" t="b">
        <v>1</v>
      </c>
      <c r="E10">
        <f t="shared" si="0"/>
        <v>1</v>
      </c>
    </row>
    <row r="11" spans="1:5" ht="34.5" customHeight="1">
      <c r="A11" s="82" t="s">
        <v>258</v>
      </c>
      <c r="B11" s="82"/>
      <c r="C11" s="82"/>
      <c r="D11" s="45" t="b">
        <v>1</v>
      </c>
      <c r="E11">
        <f t="shared" si="0"/>
        <v>1</v>
      </c>
    </row>
    <row r="12" spans="1:5" ht="34.5" customHeight="1">
      <c r="A12" s="82" t="s">
        <v>259</v>
      </c>
      <c r="B12" s="82"/>
      <c r="C12" s="82"/>
      <c r="D12" s="45" t="b">
        <v>1</v>
      </c>
      <c r="E12">
        <f t="shared" si="0"/>
        <v>1</v>
      </c>
    </row>
    <row r="13" spans="1:5" ht="34.5" customHeight="1">
      <c r="A13" s="82" t="s">
        <v>260</v>
      </c>
      <c r="B13" s="82"/>
      <c r="C13" s="82"/>
      <c r="D13" s="45" t="b">
        <v>1</v>
      </c>
      <c r="E13">
        <f t="shared" si="0"/>
        <v>1</v>
      </c>
    </row>
    <row r="14" spans="1:5" ht="34.5" customHeight="1">
      <c r="A14" s="81" t="s">
        <v>261</v>
      </c>
      <c r="B14" s="81"/>
      <c r="C14" s="81"/>
      <c r="D14" s="45" t="b">
        <v>1</v>
      </c>
      <c r="E14">
        <f t="shared" si="0"/>
        <v>1</v>
      </c>
    </row>
    <row r="15" spans="1:5">
      <c r="E15">
        <f>SUM(E7:E14)</f>
        <v>8</v>
      </c>
    </row>
  </sheetData>
  <sheetProtection sheet="1" objects="1" scenarios="1" selectLockedCells="1"/>
  <mergeCells count="13">
    <mergeCell ref="A7:C7"/>
    <mergeCell ref="A1:B1"/>
    <mergeCell ref="A2:D2"/>
    <mergeCell ref="A3:B3"/>
    <mergeCell ref="A4:B4"/>
    <mergeCell ref="A6:D6"/>
    <mergeCell ref="A14:C14"/>
    <mergeCell ref="A8:C8"/>
    <mergeCell ref="A9:C9"/>
    <mergeCell ref="A10:C10"/>
    <mergeCell ref="A11:C11"/>
    <mergeCell ref="A12:C12"/>
    <mergeCell ref="A13:C13"/>
  </mergeCells>
  <conditionalFormatting sqref="A7">
    <cfRule type="duplicateValues" dxfId="55" priority="2"/>
  </conditionalFormatting>
  <conditionalFormatting sqref="A8:A14">
    <cfRule type="duplicateValues" dxfId="54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 codeName="Лист21"/>
  <dimension ref="A1:E59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ht="26.25" customHeight="1">
      <c r="A7" s="82" t="s">
        <v>265</v>
      </c>
      <c r="B7" s="82"/>
      <c r="C7" s="82"/>
      <c r="D7" s="45" t="b">
        <v>0</v>
      </c>
      <c r="E7">
        <f>IF(LEN(D7)&gt;4,1,0)</f>
        <v>0</v>
      </c>
    </row>
    <row r="8" spans="1:5" ht="26.25" customHeight="1">
      <c r="A8" s="82" t="s">
        <v>266</v>
      </c>
      <c r="B8" s="82"/>
      <c r="C8" s="82"/>
      <c r="D8" s="45" t="b">
        <v>0</v>
      </c>
      <c r="E8">
        <f t="shared" ref="E8:E58" si="0">IF(LEN(D8)&gt;4,1,0)</f>
        <v>0</v>
      </c>
    </row>
    <row r="9" spans="1:5" ht="26.25" customHeight="1">
      <c r="A9" s="82" t="s">
        <v>267</v>
      </c>
      <c r="B9" s="82"/>
      <c r="C9" s="82"/>
      <c r="D9" s="45" t="b">
        <v>0</v>
      </c>
      <c r="E9">
        <f t="shared" si="0"/>
        <v>0</v>
      </c>
    </row>
    <row r="10" spans="1:5" ht="26.25" customHeight="1">
      <c r="A10" s="82" t="s">
        <v>268</v>
      </c>
      <c r="B10" s="82"/>
      <c r="C10" s="82"/>
      <c r="D10" s="45" t="b">
        <v>0</v>
      </c>
      <c r="E10">
        <f t="shared" si="0"/>
        <v>0</v>
      </c>
    </row>
    <row r="11" spans="1:5" ht="26.25" customHeight="1">
      <c r="A11" s="82" t="s">
        <v>269</v>
      </c>
      <c r="B11" s="82"/>
      <c r="C11" s="82"/>
      <c r="D11" s="45" t="b">
        <v>0</v>
      </c>
      <c r="E11">
        <f t="shared" si="0"/>
        <v>0</v>
      </c>
    </row>
    <row r="12" spans="1:5" ht="26.25" customHeight="1">
      <c r="A12" s="82" t="s">
        <v>270</v>
      </c>
      <c r="B12" s="82"/>
      <c r="C12" s="82"/>
      <c r="D12" s="45" t="b">
        <v>0</v>
      </c>
      <c r="E12">
        <f t="shared" si="0"/>
        <v>0</v>
      </c>
    </row>
    <row r="13" spans="1:5" ht="29.25" customHeight="1">
      <c r="A13" s="82" t="s">
        <v>271</v>
      </c>
      <c r="B13" s="82"/>
      <c r="C13" s="82"/>
      <c r="D13" s="45" t="b">
        <v>0</v>
      </c>
      <c r="E13">
        <f t="shared" si="0"/>
        <v>0</v>
      </c>
    </row>
    <row r="14" spans="1:5" ht="26.25" customHeight="1">
      <c r="A14" s="82" t="s">
        <v>272</v>
      </c>
      <c r="B14" s="82"/>
      <c r="C14" s="82"/>
      <c r="D14" s="45" t="b">
        <v>0</v>
      </c>
      <c r="E14">
        <f t="shared" si="0"/>
        <v>0</v>
      </c>
    </row>
    <row r="15" spans="1:5" ht="26.25" customHeight="1">
      <c r="A15" s="82" t="s">
        <v>273</v>
      </c>
      <c r="B15" s="82"/>
      <c r="C15" s="82"/>
      <c r="D15" s="45" t="b">
        <v>0</v>
      </c>
      <c r="E15">
        <f t="shared" si="0"/>
        <v>0</v>
      </c>
    </row>
    <row r="16" spans="1:5" ht="30" customHeight="1">
      <c r="A16" s="82" t="s">
        <v>274</v>
      </c>
      <c r="B16" s="82"/>
      <c r="C16" s="82"/>
      <c r="D16" s="45" t="b">
        <v>0</v>
      </c>
      <c r="E16">
        <f t="shared" si="0"/>
        <v>0</v>
      </c>
    </row>
    <row r="17" spans="1:5" ht="26.25" customHeight="1">
      <c r="A17" s="82" t="s">
        <v>275</v>
      </c>
      <c r="B17" s="82"/>
      <c r="C17" s="82"/>
      <c r="D17" s="45" t="b">
        <v>0</v>
      </c>
      <c r="E17">
        <f t="shared" si="0"/>
        <v>0</v>
      </c>
    </row>
    <row r="18" spans="1:5" ht="26.25" customHeight="1">
      <c r="A18" s="82" t="s">
        <v>276</v>
      </c>
      <c r="B18" s="82"/>
      <c r="C18" s="82"/>
      <c r="D18" s="45" t="b">
        <v>0</v>
      </c>
      <c r="E18">
        <f t="shared" si="0"/>
        <v>0</v>
      </c>
    </row>
    <row r="19" spans="1:5" ht="30" customHeight="1">
      <c r="A19" s="82" t="s">
        <v>277</v>
      </c>
      <c r="B19" s="82"/>
      <c r="C19" s="82"/>
      <c r="D19" s="45" t="b">
        <v>0</v>
      </c>
      <c r="E19">
        <f t="shared" si="0"/>
        <v>0</v>
      </c>
    </row>
    <row r="20" spans="1:5" ht="26.25" customHeight="1">
      <c r="A20" s="82" t="s">
        <v>278</v>
      </c>
      <c r="B20" s="82"/>
      <c r="C20" s="82"/>
      <c r="D20" s="45" t="b">
        <v>0</v>
      </c>
      <c r="E20">
        <f t="shared" si="0"/>
        <v>0</v>
      </c>
    </row>
    <row r="21" spans="1:5" ht="26.25" customHeight="1">
      <c r="A21" s="82" t="s">
        <v>279</v>
      </c>
      <c r="B21" s="82"/>
      <c r="C21" s="82"/>
      <c r="D21" s="45" t="b">
        <v>0</v>
      </c>
      <c r="E21">
        <f t="shared" si="0"/>
        <v>0</v>
      </c>
    </row>
    <row r="22" spans="1:5" ht="26.25" customHeight="1">
      <c r="A22" s="82" t="s">
        <v>280</v>
      </c>
      <c r="B22" s="82"/>
      <c r="C22" s="82"/>
      <c r="D22" s="45" t="b">
        <v>0</v>
      </c>
      <c r="E22">
        <f t="shared" si="0"/>
        <v>0</v>
      </c>
    </row>
    <row r="23" spans="1:5" ht="26.25" customHeight="1">
      <c r="A23" s="82" t="s">
        <v>281</v>
      </c>
      <c r="B23" s="82"/>
      <c r="C23" s="82"/>
      <c r="D23" s="45" t="b">
        <v>0</v>
      </c>
      <c r="E23">
        <f t="shared" si="0"/>
        <v>0</v>
      </c>
    </row>
    <row r="24" spans="1:5" ht="32.25" customHeight="1">
      <c r="A24" s="82" t="s">
        <v>282</v>
      </c>
      <c r="B24" s="82"/>
      <c r="C24" s="82"/>
      <c r="D24" s="45" t="b">
        <v>0</v>
      </c>
      <c r="E24">
        <f t="shared" si="0"/>
        <v>0</v>
      </c>
    </row>
    <row r="25" spans="1:5" ht="31.5" customHeight="1">
      <c r="A25" s="82" t="s">
        <v>283</v>
      </c>
      <c r="B25" s="82"/>
      <c r="C25" s="82"/>
      <c r="D25" s="45" t="b">
        <v>0</v>
      </c>
      <c r="E25">
        <f t="shared" si="0"/>
        <v>0</v>
      </c>
    </row>
    <row r="26" spans="1:5" ht="31.5" customHeight="1">
      <c r="A26" s="82" t="s">
        <v>284</v>
      </c>
      <c r="B26" s="82"/>
      <c r="C26" s="82"/>
      <c r="D26" s="45" t="b">
        <v>0</v>
      </c>
      <c r="E26">
        <f t="shared" si="0"/>
        <v>0</v>
      </c>
    </row>
    <row r="27" spans="1:5" ht="29.25" customHeight="1">
      <c r="A27" s="82" t="s">
        <v>285</v>
      </c>
      <c r="B27" s="82"/>
      <c r="C27" s="82"/>
      <c r="D27" s="45" t="b">
        <v>0</v>
      </c>
      <c r="E27">
        <f t="shared" si="0"/>
        <v>0</v>
      </c>
    </row>
    <row r="28" spans="1:5" ht="26.25" customHeight="1">
      <c r="A28" s="82" t="s">
        <v>286</v>
      </c>
      <c r="B28" s="82"/>
      <c r="C28" s="82"/>
      <c r="D28" s="45" t="b">
        <v>0</v>
      </c>
      <c r="E28">
        <f t="shared" si="0"/>
        <v>0</v>
      </c>
    </row>
    <row r="29" spans="1:5" ht="26.25" customHeight="1">
      <c r="A29" s="82" t="s">
        <v>287</v>
      </c>
      <c r="B29" s="82"/>
      <c r="C29" s="82"/>
      <c r="D29" s="45" t="b">
        <v>0</v>
      </c>
      <c r="E29">
        <f t="shared" si="0"/>
        <v>0</v>
      </c>
    </row>
    <row r="30" spans="1:5" ht="26.25" customHeight="1">
      <c r="A30" s="82" t="s">
        <v>288</v>
      </c>
      <c r="B30" s="82"/>
      <c r="C30" s="82"/>
      <c r="D30" s="45" t="b">
        <v>0</v>
      </c>
      <c r="E30">
        <f t="shared" si="0"/>
        <v>0</v>
      </c>
    </row>
    <row r="31" spans="1:5" ht="26.25" customHeight="1">
      <c r="A31" s="82" t="s">
        <v>289</v>
      </c>
      <c r="B31" s="82"/>
      <c r="C31" s="82"/>
      <c r="D31" s="45" t="b">
        <v>0</v>
      </c>
      <c r="E31">
        <f t="shared" si="0"/>
        <v>0</v>
      </c>
    </row>
    <row r="32" spans="1:5" ht="26.25" customHeight="1">
      <c r="A32" s="82" t="s">
        <v>290</v>
      </c>
      <c r="B32" s="82"/>
      <c r="C32" s="82"/>
      <c r="D32" s="45" t="b">
        <v>0</v>
      </c>
      <c r="E32">
        <f t="shared" si="0"/>
        <v>0</v>
      </c>
    </row>
    <row r="33" spans="1:5" ht="26.25" customHeight="1">
      <c r="A33" s="82" t="s">
        <v>291</v>
      </c>
      <c r="B33" s="82"/>
      <c r="C33" s="82"/>
      <c r="D33" s="45" t="b">
        <v>0</v>
      </c>
      <c r="E33">
        <f t="shared" si="0"/>
        <v>0</v>
      </c>
    </row>
    <row r="34" spans="1:5" ht="26.25" customHeight="1">
      <c r="A34" s="82" t="s">
        <v>292</v>
      </c>
      <c r="B34" s="82"/>
      <c r="C34" s="82"/>
      <c r="D34" s="45" t="b">
        <v>0</v>
      </c>
      <c r="E34">
        <f t="shared" si="0"/>
        <v>0</v>
      </c>
    </row>
    <row r="35" spans="1:5" ht="26.25" customHeight="1">
      <c r="A35" s="82" t="s">
        <v>293</v>
      </c>
      <c r="B35" s="82"/>
      <c r="C35" s="82"/>
      <c r="D35" s="45" t="b">
        <v>0</v>
      </c>
      <c r="E35">
        <f t="shared" si="0"/>
        <v>0</v>
      </c>
    </row>
    <row r="36" spans="1:5" ht="26.25" customHeight="1">
      <c r="A36" s="82" t="s">
        <v>294</v>
      </c>
      <c r="B36" s="82"/>
      <c r="C36" s="82"/>
      <c r="D36" s="45" t="b">
        <v>0</v>
      </c>
      <c r="E36">
        <f t="shared" si="0"/>
        <v>0</v>
      </c>
    </row>
    <row r="37" spans="1:5" ht="26.25" customHeight="1">
      <c r="A37" s="82" t="s">
        <v>295</v>
      </c>
      <c r="B37" s="82"/>
      <c r="C37" s="82"/>
      <c r="D37" s="45" t="b">
        <v>0</v>
      </c>
      <c r="E37">
        <f t="shared" si="0"/>
        <v>0</v>
      </c>
    </row>
    <row r="38" spans="1:5" ht="26.25" customHeight="1">
      <c r="A38" s="82" t="s">
        <v>296</v>
      </c>
      <c r="B38" s="82"/>
      <c r="C38" s="82"/>
      <c r="D38" s="45" t="b">
        <v>0</v>
      </c>
      <c r="E38">
        <f t="shared" si="0"/>
        <v>0</v>
      </c>
    </row>
    <row r="39" spans="1:5" ht="26.25" customHeight="1">
      <c r="A39" s="82" t="s">
        <v>297</v>
      </c>
      <c r="B39" s="82"/>
      <c r="C39" s="82"/>
      <c r="D39" s="45" t="b">
        <v>0</v>
      </c>
      <c r="E39">
        <f t="shared" si="0"/>
        <v>0</v>
      </c>
    </row>
    <row r="40" spans="1:5" ht="26.25" customHeight="1">
      <c r="A40" s="82" t="s">
        <v>298</v>
      </c>
      <c r="B40" s="82"/>
      <c r="C40" s="82"/>
      <c r="D40" s="45" t="b">
        <v>0</v>
      </c>
      <c r="E40">
        <f t="shared" si="0"/>
        <v>0</v>
      </c>
    </row>
    <row r="41" spans="1:5" ht="26.25" customHeight="1">
      <c r="A41" s="82" t="s">
        <v>299</v>
      </c>
      <c r="B41" s="82"/>
      <c r="C41" s="82"/>
      <c r="D41" s="45" t="b">
        <v>0</v>
      </c>
      <c r="E41">
        <f t="shared" si="0"/>
        <v>0</v>
      </c>
    </row>
    <row r="42" spans="1:5" ht="26.25" customHeight="1">
      <c r="A42" s="82" t="s">
        <v>300</v>
      </c>
      <c r="B42" s="82"/>
      <c r="C42" s="82"/>
      <c r="D42" s="45" t="b">
        <v>0</v>
      </c>
      <c r="E42">
        <f t="shared" si="0"/>
        <v>0</v>
      </c>
    </row>
    <row r="43" spans="1:5" ht="74.25" customHeight="1">
      <c r="A43" s="82" t="s">
        <v>301</v>
      </c>
      <c r="B43" s="82"/>
      <c r="C43" s="82"/>
      <c r="D43" s="45" t="b">
        <v>0</v>
      </c>
      <c r="E43">
        <f t="shared" si="0"/>
        <v>0</v>
      </c>
    </row>
    <row r="44" spans="1:5" ht="26.25" customHeight="1">
      <c r="A44" s="82" t="s">
        <v>302</v>
      </c>
      <c r="B44" s="82"/>
      <c r="C44" s="82"/>
      <c r="D44" s="45" t="b">
        <v>0</v>
      </c>
      <c r="E44">
        <f t="shared" si="0"/>
        <v>0</v>
      </c>
    </row>
    <row r="45" spans="1:5" ht="26.25" customHeight="1">
      <c r="A45" s="82" t="s">
        <v>303</v>
      </c>
      <c r="B45" s="82"/>
      <c r="C45" s="82"/>
      <c r="D45" s="45" t="b">
        <v>0</v>
      </c>
      <c r="E45">
        <f t="shared" si="0"/>
        <v>0</v>
      </c>
    </row>
    <row r="46" spans="1:5" ht="26.25" customHeight="1">
      <c r="A46" s="82" t="s">
        <v>304</v>
      </c>
      <c r="B46" s="82"/>
      <c r="C46" s="82"/>
      <c r="D46" s="45" t="b">
        <v>0</v>
      </c>
      <c r="E46">
        <f t="shared" si="0"/>
        <v>0</v>
      </c>
    </row>
    <row r="47" spans="1:5" ht="26.25" customHeight="1">
      <c r="A47" s="82" t="s">
        <v>305</v>
      </c>
      <c r="B47" s="82"/>
      <c r="C47" s="82"/>
      <c r="D47" s="45" t="b">
        <v>0</v>
      </c>
      <c r="E47">
        <f t="shared" si="0"/>
        <v>0</v>
      </c>
    </row>
    <row r="48" spans="1:5" ht="26.25" customHeight="1">
      <c r="A48" s="82" t="s">
        <v>306</v>
      </c>
      <c r="B48" s="82"/>
      <c r="C48" s="82"/>
      <c r="D48" s="45" t="b">
        <v>0</v>
      </c>
      <c r="E48">
        <f t="shared" si="0"/>
        <v>0</v>
      </c>
    </row>
    <row r="49" spans="1:5" ht="26.25" customHeight="1">
      <c r="A49" s="82" t="s">
        <v>307</v>
      </c>
      <c r="B49" s="82"/>
      <c r="C49" s="82"/>
      <c r="D49" s="45" t="b">
        <v>0</v>
      </c>
      <c r="E49">
        <f t="shared" si="0"/>
        <v>0</v>
      </c>
    </row>
    <row r="50" spans="1:5" ht="26.25" customHeight="1">
      <c r="A50" s="82" t="s">
        <v>308</v>
      </c>
      <c r="B50" s="82"/>
      <c r="C50" s="82"/>
      <c r="D50" s="45" t="b">
        <v>0</v>
      </c>
      <c r="E50">
        <f t="shared" si="0"/>
        <v>0</v>
      </c>
    </row>
    <row r="51" spans="1:5" ht="30" customHeight="1">
      <c r="A51" s="82" t="s">
        <v>309</v>
      </c>
      <c r="B51" s="82"/>
      <c r="C51" s="82"/>
      <c r="D51" s="45" t="b">
        <v>0</v>
      </c>
      <c r="E51">
        <f t="shared" si="0"/>
        <v>0</v>
      </c>
    </row>
    <row r="52" spans="1:5" ht="46.5" customHeight="1">
      <c r="A52" s="82" t="s">
        <v>310</v>
      </c>
      <c r="B52" s="82"/>
      <c r="C52" s="82"/>
      <c r="D52" s="45" t="b">
        <v>0</v>
      </c>
      <c r="E52">
        <f t="shared" si="0"/>
        <v>0</v>
      </c>
    </row>
    <row r="53" spans="1:5" ht="26.25" customHeight="1">
      <c r="A53" s="82" t="s">
        <v>311</v>
      </c>
      <c r="B53" s="82"/>
      <c r="C53" s="82"/>
      <c r="D53" s="45" t="b">
        <v>0</v>
      </c>
      <c r="E53">
        <f t="shared" si="0"/>
        <v>0</v>
      </c>
    </row>
    <row r="54" spans="1:5" ht="26.25" customHeight="1">
      <c r="A54" s="82" t="s">
        <v>312</v>
      </c>
      <c r="B54" s="82"/>
      <c r="C54" s="82"/>
      <c r="D54" s="45" t="b">
        <v>0</v>
      </c>
      <c r="E54">
        <f t="shared" si="0"/>
        <v>0</v>
      </c>
    </row>
    <row r="55" spans="1:5" ht="26.25" customHeight="1">
      <c r="A55" s="82" t="s">
        <v>313</v>
      </c>
      <c r="B55" s="82"/>
      <c r="C55" s="82"/>
      <c r="D55" s="45" t="b">
        <v>0</v>
      </c>
      <c r="E55">
        <f t="shared" si="0"/>
        <v>0</v>
      </c>
    </row>
    <row r="56" spans="1:5" ht="26.25" customHeight="1">
      <c r="A56" s="82" t="s">
        <v>314</v>
      </c>
      <c r="B56" s="82"/>
      <c r="C56" s="82"/>
      <c r="D56" s="45" t="b">
        <v>0</v>
      </c>
      <c r="E56">
        <f t="shared" si="0"/>
        <v>0</v>
      </c>
    </row>
    <row r="57" spans="1:5" ht="26.25" customHeight="1">
      <c r="A57" s="82" t="s">
        <v>315</v>
      </c>
      <c r="B57" s="82"/>
      <c r="C57" s="82"/>
      <c r="D57" s="45" t="b">
        <v>0</v>
      </c>
      <c r="E57">
        <f t="shared" si="0"/>
        <v>0</v>
      </c>
    </row>
    <row r="58" spans="1:5" ht="26.25" customHeight="1">
      <c r="A58" s="81" t="s">
        <v>316</v>
      </c>
      <c r="B58" s="81"/>
      <c r="C58" s="81"/>
      <c r="D58" s="45" t="b">
        <v>0</v>
      </c>
      <c r="E58">
        <f t="shared" si="0"/>
        <v>0</v>
      </c>
    </row>
    <row r="59" spans="1:5">
      <c r="E59">
        <f>SUM(E7:E58)</f>
        <v>0</v>
      </c>
    </row>
  </sheetData>
  <sheetProtection sheet="1" objects="1" scenarios="1" selectLockedCells="1"/>
  <mergeCells count="57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7:C37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9:C49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56:C56"/>
    <mergeCell ref="A57:C57"/>
    <mergeCell ref="A58:C58"/>
    <mergeCell ref="A50:C50"/>
    <mergeCell ref="A51:C51"/>
    <mergeCell ref="A52:C52"/>
    <mergeCell ref="A53:C53"/>
    <mergeCell ref="A54:C54"/>
    <mergeCell ref="A55:C55"/>
  </mergeCells>
  <conditionalFormatting sqref="A7">
    <cfRule type="duplicateValues" dxfId="53" priority="2"/>
  </conditionalFormatting>
  <conditionalFormatting sqref="A8:A58">
    <cfRule type="duplicateValues" dxfId="52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 codeName="Лист22"/>
  <dimension ref="A1:E59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ht="26.25" customHeight="1">
      <c r="A7" s="82" t="s">
        <v>265</v>
      </c>
      <c r="B7" s="82"/>
      <c r="C7" s="82"/>
      <c r="D7" s="45" t="b">
        <v>0</v>
      </c>
      <c r="E7">
        <f>IF(LEN(D7)&gt;4,1,0)</f>
        <v>0</v>
      </c>
    </row>
    <row r="8" spans="1:5" ht="26.25" customHeight="1">
      <c r="A8" s="82" t="s">
        <v>266</v>
      </c>
      <c r="B8" s="82"/>
      <c r="C8" s="82"/>
      <c r="D8" s="45" t="b">
        <v>0</v>
      </c>
      <c r="E8">
        <f t="shared" ref="E8:E58" si="0">IF(LEN(D8)&gt;4,1,0)</f>
        <v>0</v>
      </c>
    </row>
    <row r="9" spans="1:5" ht="26.25" customHeight="1">
      <c r="A9" s="82" t="s">
        <v>267</v>
      </c>
      <c r="B9" s="82"/>
      <c r="C9" s="82"/>
      <c r="D9" s="45" t="b">
        <v>0</v>
      </c>
      <c r="E9">
        <f t="shared" si="0"/>
        <v>0</v>
      </c>
    </row>
    <row r="10" spans="1:5" ht="26.25" customHeight="1">
      <c r="A10" s="82" t="s">
        <v>268</v>
      </c>
      <c r="B10" s="82"/>
      <c r="C10" s="82"/>
      <c r="D10" s="45" t="b">
        <v>0</v>
      </c>
      <c r="E10">
        <f t="shared" si="0"/>
        <v>0</v>
      </c>
    </row>
    <row r="11" spans="1:5" ht="26.25" customHeight="1">
      <c r="A11" s="82" t="s">
        <v>269</v>
      </c>
      <c r="B11" s="82"/>
      <c r="C11" s="82"/>
      <c r="D11" s="45" t="b">
        <v>0</v>
      </c>
      <c r="E11">
        <f t="shared" si="0"/>
        <v>0</v>
      </c>
    </row>
    <row r="12" spans="1:5" ht="26.25" customHeight="1">
      <c r="A12" s="82" t="s">
        <v>270</v>
      </c>
      <c r="B12" s="82"/>
      <c r="C12" s="82"/>
      <c r="D12" s="45" t="b">
        <v>0</v>
      </c>
      <c r="E12">
        <f t="shared" si="0"/>
        <v>0</v>
      </c>
    </row>
    <row r="13" spans="1:5" ht="29.25" customHeight="1">
      <c r="A13" s="82" t="s">
        <v>271</v>
      </c>
      <c r="B13" s="82"/>
      <c r="C13" s="82"/>
      <c r="D13" s="45" t="b">
        <v>0</v>
      </c>
      <c r="E13">
        <f t="shared" si="0"/>
        <v>0</v>
      </c>
    </row>
    <row r="14" spans="1:5" ht="26.25" customHeight="1">
      <c r="A14" s="82" t="s">
        <v>272</v>
      </c>
      <c r="B14" s="82"/>
      <c r="C14" s="82"/>
      <c r="D14" s="45" t="b">
        <v>0</v>
      </c>
      <c r="E14">
        <f t="shared" si="0"/>
        <v>0</v>
      </c>
    </row>
    <row r="15" spans="1:5" ht="26.25" customHeight="1">
      <c r="A15" s="82" t="s">
        <v>273</v>
      </c>
      <c r="B15" s="82"/>
      <c r="C15" s="82"/>
      <c r="D15" s="45" t="b">
        <v>0</v>
      </c>
      <c r="E15">
        <f t="shared" si="0"/>
        <v>0</v>
      </c>
    </row>
    <row r="16" spans="1:5" ht="30" customHeight="1">
      <c r="A16" s="82" t="s">
        <v>274</v>
      </c>
      <c r="B16" s="82"/>
      <c r="C16" s="82"/>
      <c r="D16" s="45" t="b">
        <v>0</v>
      </c>
      <c r="E16">
        <f t="shared" si="0"/>
        <v>0</v>
      </c>
    </row>
    <row r="17" spans="1:5" ht="26.25" customHeight="1">
      <c r="A17" s="82" t="s">
        <v>275</v>
      </c>
      <c r="B17" s="82"/>
      <c r="C17" s="82"/>
      <c r="D17" s="45" t="b">
        <v>0</v>
      </c>
      <c r="E17">
        <f t="shared" si="0"/>
        <v>0</v>
      </c>
    </row>
    <row r="18" spans="1:5" ht="26.25" customHeight="1">
      <c r="A18" s="82" t="s">
        <v>276</v>
      </c>
      <c r="B18" s="82"/>
      <c r="C18" s="82"/>
      <c r="D18" s="45" t="b">
        <v>0</v>
      </c>
      <c r="E18">
        <f t="shared" si="0"/>
        <v>0</v>
      </c>
    </row>
    <row r="19" spans="1:5" ht="30" customHeight="1">
      <c r="A19" s="82" t="s">
        <v>277</v>
      </c>
      <c r="B19" s="82"/>
      <c r="C19" s="82"/>
      <c r="D19" s="45" t="b">
        <v>0</v>
      </c>
      <c r="E19">
        <f t="shared" si="0"/>
        <v>0</v>
      </c>
    </row>
    <row r="20" spans="1:5" ht="26.25" customHeight="1">
      <c r="A20" s="82" t="s">
        <v>278</v>
      </c>
      <c r="B20" s="82"/>
      <c r="C20" s="82"/>
      <c r="D20" s="45" t="b">
        <v>0</v>
      </c>
      <c r="E20">
        <f t="shared" si="0"/>
        <v>0</v>
      </c>
    </row>
    <row r="21" spans="1:5" ht="26.25" customHeight="1">
      <c r="A21" s="82" t="s">
        <v>279</v>
      </c>
      <c r="B21" s="82"/>
      <c r="C21" s="82"/>
      <c r="D21" s="45" t="b">
        <v>0</v>
      </c>
      <c r="E21">
        <f t="shared" si="0"/>
        <v>0</v>
      </c>
    </row>
    <row r="22" spans="1:5" ht="26.25" customHeight="1">
      <c r="A22" s="82" t="s">
        <v>280</v>
      </c>
      <c r="B22" s="82"/>
      <c r="C22" s="82"/>
      <c r="D22" s="45" t="b">
        <v>0</v>
      </c>
      <c r="E22">
        <f t="shared" si="0"/>
        <v>0</v>
      </c>
    </row>
    <row r="23" spans="1:5" ht="26.25" customHeight="1">
      <c r="A23" s="82" t="s">
        <v>281</v>
      </c>
      <c r="B23" s="82"/>
      <c r="C23" s="82"/>
      <c r="D23" s="45" t="b">
        <v>0</v>
      </c>
      <c r="E23">
        <f t="shared" si="0"/>
        <v>0</v>
      </c>
    </row>
    <row r="24" spans="1:5" ht="32.25" customHeight="1">
      <c r="A24" s="82" t="s">
        <v>282</v>
      </c>
      <c r="B24" s="82"/>
      <c r="C24" s="82"/>
      <c r="D24" s="45" t="b">
        <v>0</v>
      </c>
      <c r="E24">
        <f t="shared" si="0"/>
        <v>0</v>
      </c>
    </row>
    <row r="25" spans="1:5" ht="31.5" customHeight="1">
      <c r="A25" s="82" t="s">
        <v>283</v>
      </c>
      <c r="B25" s="82"/>
      <c r="C25" s="82"/>
      <c r="D25" s="45" t="b">
        <v>0</v>
      </c>
      <c r="E25">
        <f t="shared" si="0"/>
        <v>0</v>
      </c>
    </row>
    <row r="26" spans="1:5" ht="31.5" customHeight="1">
      <c r="A26" s="82" t="s">
        <v>284</v>
      </c>
      <c r="B26" s="82"/>
      <c r="C26" s="82"/>
      <c r="D26" s="45" t="b">
        <v>0</v>
      </c>
      <c r="E26">
        <f t="shared" si="0"/>
        <v>0</v>
      </c>
    </row>
    <row r="27" spans="1:5" ht="29.25" customHeight="1">
      <c r="A27" s="82" t="s">
        <v>285</v>
      </c>
      <c r="B27" s="82"/>
      <c r="C27" s="82"/>
      <c r="D27" s="45" t="b">
        <v>0</v>
      </c>
      <c r="E27">
        <f t="shared" si="0"/>
        <v>0</v>
      </c>
    </row>
    <row r="28" spans="1:5" ht="26.25" customHeight="1">
      <c r="A28" s="82" t="s">
        <v>286</v>
      </c>
      <c r="B28" s="82"/>
      <c r="C28" s="82"/>
      <c r="D28" s="45" t="b">
        <v>0</v>
      </c>
      <c r="E28">
        <f t="shared" si="0"/>
        <v>0</v>
      </c>
    </row>
    <row r="29" spans="1:5" ht="26.25" customHeight="1">
      <c r="A29" s="82" t="s">
        <v>287</v>
      </c>
      <c r="B29" s="82"/>
      <c r="C29" s="82"/>
      <c r="D29" s="45" t="b">
        <v>0</v>
      </c>
      <c r="E29">
        <f t="shared" si="0"/>
        <v>0</v>
      </c>
    </row>
    <row r="30" spans="1:5" ht="26.25" customHeight="1">
      <c r="A30" s="82" t="s">
        <v>288</v>
      </c>
      <c r="B30" s="82"/>
      <c r="C30" s="82"/>
      <c r="D30" s="45" t="b">
        <v>0</v>
      </c>
      <c r="E30">
        <f t="shared" si="0"/>
        <v>0</v>
      </c>
    </row>
    <row r="31" spans="1:5" ht="26.25" customHeight="1">
      <c r="A31" s="82" t="s">
        <v>289</v>
      </c>
      <c r="B31" s="82"/>
      <c r="C31" s="82"/>
      <c r="D31" s="45" t="b">
        <v>0</v>
      </c>
      <c r="E31">
        <f t="shared" si="0"/>
        <v>0</v>
      </c>
    </row>
    <row r="32" spans="1:5" ht="26.25" customHeight="1">
      <c r="A32" s="82" t="s">
        <v>290</v>
      </c>
      <c r="B32" s="82"/>
      <c r="C32" s="82"/>
      <c r="D32" s="45" t="b">
        <v>0</v>
      </c>
      <c r="E32">
        <f t="shared" si="0"/>
        <v>0</v>
      </c>
    </row>
    <row r="33" spans="1:5" ht="26.25" customHeight="1">
      <c r="A33" s="82" t="s">
        <v>291</v>
      </c>
      <c r="B33" s="82"/>
      <c r="C33" s="82"/>
      <c r="D33" s="45" t="b">
        <v>0</v>
      </c>
      <c r="E33">
        <f t="shared" si="0"/>
        <v>0</v>
      </c>
    </row>
    <row r="34" spans="1:5" ht="26.25" customHeight="1">
      <c r="A34" s="82" t="s">
        <v>292</v>
      </c>
      <c r="B34" s="82"/>
      <c r="C34" s="82"/>
      <c r="D34" s="45" t="b">
        <v>0</v>
      </c>
      <c r="E34">
        <f t="shared" si="0"/>
        <v>0</v>
      </c>
    </row>
    <row r="35" spans="1:5" ht="26.25" customHeight="1">
      <c r="A35" s="82" t="s">
        <v>293</v>
      </c>
      <c r="B35" s="82"/>
      <c r="C35" s="82"/>
      <c r="D35" s="45" t="b">
        <v>0</v>
      </c>
      <c r="E35">
        <f t="shared" si="0"/>
        <v>0</v>
      </c>
    </row>
    <row r="36" spans="1:5" ht="26.25" customHeight="1">
      <c r="A36" s="82" t="s">
        <v>294</v>
      </c>
      <c r="B36" s="82"/>
      <c r="C36" s="82"/>
      <c r="D36" s="45" t="b">
        <v>0</v>
      </c>
      <c r="E36">
        <f t="shared" si="0"/>
        <v>0</v>
      </c>
    </row>
    <row r="37" spans="1:5" ht="26.25" customHeight="1">
      <c r="A37" s="82" t="s">
        <v>295</v>
      </c>
      <c r="B37" s="82"/>
      <c r="C37" s="82"/>
      <c r="D37" s="45" t="b">
        <v>0</v>
      </c>
      <c r="E37">
        <f t="shared" si="0"/>
        <v>0</v>
      </c>
    </row>
    <row r="38" spans="1:5" ht="26.25" customHeight="1">
      <c r="A38" s="82" t="s">
        <v>296</v>
      </c>
      <c r="B38" s="82"/>
      <c r="C38" s="82"/>
      <c r="D38" s="45" t="b">
        <v>0</v>
      </c>
      <c r="E38">
        <f t="shared" si="0"/>
        <v>0</v>
      </c>
    </row>
    <row r="39" spans="1:5" ht="26.25" customHeight="1">
      <c r="A39" s="82" t="s">
        <v>297</v>
      </c>
      <c r="B39" s="82"/>
      <c r="C39" s="82"/>
      <c r="D39" s="45" t="b">
        <v>0</v>
      </c>
      <c r="E39">
        <f t="shared" si="0"/>
        <v>0</v>
      </c>
    </row>
    <row r="40" spans="1:5" ht="26.25" customHeight="1">
      <c r="A40" s="82" t="s">
        <v>298</v>
      </c>
      <c r="B40" s="82"/>
      <c r="C40" s="82"/>
      <c r="D40" s="45" t="b">
        <v>0</v>
      </c>
      <c r="E40">
        <f t="shared" si="0"/>
        <v>0</v>
      </c>
    </row>
    <row r="41" spans="1:5" ht="26.25" customHeight="1">
      <c r="A41" s="82" t="s">
        <v>299</v>
      </c>
      <c r="B41" s="82"/>
      <c r="C41" s="82"/>
      <c r="D41" s="45" t="b">
        <v>0</v>
      </c>
      <c r="E41">
        <f t="shared" si="0"/>
        <v>0</v>
      </c>
    </row>
    <row r="42" spans="1:5" ht="26.25" customHeight="1">
      <c r="A42" s="82" t="s">
        <v>300</v>
      </c>
      <c r="B42" s="82"/>
      <c r="C42" s="82"/>
      <c r="D42" s="45" t="b">
        <v>0</v>
      </c>
      <c r="E42">
        <f t="shared" si="0"/>
        <v>0</v>
      </c>
    </row>
    <row r="43" spans="1:5" ht="74.25" customHeight="1">
      <c r="A43" s="82" t="s">
        <v>301</v>
      </c>
      <c r="B43" s="82"/>
      <c r="C43" s="82"/>
      <c r="D43" s="45" t="b">
        <v>0</v>
      </c>
      <c r="E43">
        <f t="shared" si="0"/>
        <v>0</v>
      </c>
    </row>
    <row r="44" spans="1:5" ht="26.25" customHeight="1">
      <c r="A44" s="82" t="s">
        <v>302</v>
      </c>
      <c r="B44" s="82"/>
      <c r="C44" s="82"/>
      <c r="D44" s="45" t="b">
        <v>0</v>
      </c>
      <c r="E44">
        <f t="shared" si="0"/>
        <v>0</v>
      </c>
    </row>
    <row r="45" spans="1:5" ht="26.25" customHeight="1">
      <c r="A45" s="82" t="s">
        <v>303</v>
      </c>
      <c r="B45" s="82"/>
      <c r="C45" s="82"/>
      <c r="D45" s="45" t="b">
        <v>0</v>
      </c>
      <c r="E45">
        <f t="shared" si="0"/>
        <v>0</v>
      </c>
    </row>
    <row r="46" spans="1:5" ht="26.25" customHeight="1">
      <c r="A46" s="82" t="s">
        <v>304</v>
      </c>
      <c r="B46" s="82"/>
      <c r="C46" s="82"/>
      <c r="D46" s="45" t="b">
        <v>0</v>
      </c>
      <c r="E46">
        <f t="shared" si="0"/>
        <v>0</v>
      </c>
    </row>
    <row r="47" spans="1:5" ht="26.25" customHeight="1">
      <c r="A47" s="82" t="s">
        <v>305</v>
      </c>
      <c r="B47" s="82"/>
      <c r="C47" s="82"/>
      <c r="D47" s="45" t="b">
        <v>0</v>
      </c>
      <c r="E47">
        <f t="shared" si="0"/>
        <v>0</v>
      </c>
    </row>
    <row r="48" spans="1:5" ht="26.25" customHeight="1">
      <c r="A48" s="82" t="s">
        <v>306</v>
      </c>
      <c r="B48" s="82"/>
      <c r="C48" s="82"/>
      <c r="D48" s="45" t="b">
        <v>0</v>
      </c>
      <c r="E48">
        <f t="shared" si="0"/>
        <v>0</v>
      </c>
    </row>
    <row r="49" spans="1:5" ht="26.25" customHeight="1">
      <c r="A49" s="82" t="s">
        <v>307</v>
      </c>
      <c r="B49" s="82"/>
      <c r="C49" s="82"/>
      <c r="D49" s="45" t="b">
        <v>0</v>
      </c>
      <c r="E49">
        <f t="shared" si="0"/>
        <v>0</v>
      </c>
    </row>
    <row r="50" spans="1:5" ht="26.25" customHeight="1">
      <c r="A50" s="82" t="s">
        <v>308</v>
      </c>
      <c r="B50" s="82"/>
      <c r="C50" s="82"/>
      <c r="D50" s="45" t="b">
        <v>0</v>
      </c>
      <c r="E50">
        <f t="shared" si="0"/>
        <v>0</v>
      </c>
    </row>
    <row r="51" spans="1:5" ht="30" customHeight="1">
      <c r="A51" s="82" t="s">
        <v>309</v>
      </c>
      <c r="B51" s="82"/>
      <c r="C51" s="82"/>
      <c r="D51" s="45" t="b">
        <v>0</v>
      </c>
      <c r="E51">
        <f t="shared" si="0"/>
        <v>0</v>
      </c>
    </row>
    <row r="52" spans="1:5" ht="46.5" customHeight="1">
      <c r="A52" s="82" t="s">
        <v>310</v>
      </c>
      <c r="B52" s="82"/>
      <c r="C52" s="82"/>
      <c r="D52" s="45" t="b">
        <v>0</v>
      </c>
      <c r="E52">
        <f t="shared" si="0"/>
        <v>0</v>
      </c>
    </row>
    <row r="53" spans="1:5" ht="26.25" customHeight="1">
      <c r="A53" s="82" t="s">
        <v>311</v>
      </c>
      <c r="B53" s="82"/>
      <c r="C53" s="82"/>
      <c r="D53" s="45" t="b">
        <v>0</v>
      </c>
      <c r="E53">
        <f t="shared" si="0"/>
        <v>0</v>
      </c>
    </row>
    <row r="54" spans="1:5" ht="26.25" customHeight="1">
      <c r="A54" s="82" t="s">
        <v>312</v>
      </c>
      <c r="B54" s="82"/>
      <c r="C54" s="82"/>
      <c r="D54" s="45" t="b">
        <v>0</v>
      </c>
      <c r="E54">
        <f t="shared" si="0"/>
        <v>0</v>
      </c>
    </row>
    <row r="55" spans="1:5" ht="26.25" customHeight="1">
      <c r="A55" s="82" t="s">
        <v>313</v>
      </c>
      <c r="B55" s="82"/>
      <c r="C55" s="82"/>
      <c r="D55" s="45" t="b">
        <v>0</v>
      </c>
      <c r="E55">
        <f t="shared" si="0"/>
        <v>0</v>
      </c>
    </row>
    <row r="56" spans="1:5" ht="26.25" customHeight="1">
      <c r="A56" s="82" t="s">
        <v>314</v>
      </c>
      <c r="B56" s="82"/>
      <c r="C56" s="82"/>
      <c r="D56" s="45" t="b">
        <v>0</v>
      </c>
      <c r="E56">
        <f t="shared" si="0"/>
        <v>0</v>
      </c>
    </row>
    <row r="57" spans="1:5" ht="26.25" customHeight="1">
      <c r="A57" s="82" t="s">
        <v>315</v>
      </c>
      <c r="B57" s="82"/>
      <c r="C57" s="82"/>
      <c r="D57" s="45" t="b">
        <v>0</v>
      </c>
      <c r="E57">
        <f t="shared" si="0"/>
        <v>0</v>
      </c>
    </row>
    <row r="58" spans="1:5" ht="26.25" customHeight="1">
      <c r="A58" s="81" t="s">
        <v>316</v>
      </c>
      <c r="B58" s="81"/>
      <c r="C58" s="81"/>
      <c r="D58" s="45" t="b">
        <v>0</v>
      </c>
      <c r="E58">
        <f t="shared" si="0"/>
        <v>0</v>
      </c>
    </row>
    <row r="59" spans="1:5">
      <c r="E59">
        <f>SUM(E7:E58)</f>
        <v>0</v>
      </c>
    </row>
  </sheetData>
  <sheetProtection sheet="1" objects="1" scenarios="1" selectLockedCells="1"/>
  <mergeCells count="57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7:C37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9:C49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56:C56"/>
    <mergeCell ref="A57:C57"/>
    <mergeCell ref="A58:C58"/>
    <mergeCell ref="A50:C50"/>
    <mergeCell ref="A51:C51"/>
    <mergeCell ref="A52:C52"/>
    <mergeCell ref="A53:C53"/>
    <mergeCell ref="A54:C54"/>
    <mergeCell ref="A55:C55"/>
  </mergeCells>
  <conditionalFormatting sqref="A7">
    <cfRule type="duplicateValues" dxfId="51" priority="2"/>
  </conditionalFormatting>
  <conditionalFormatting sqref="A8:A58">
    <cfRule type="duplicateValues" dxfId="50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 codeName="Лист23"/>
  <dimension ref="A1:E59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ht="26.25" customHeight="1">
      <c r="A7" s="82" t="s">
        <v>265</v>
      </c>
      <c r="B7" s="82"/>
      <c r="C7" s="82"/>
      <c r="D7" s="45" t="b">
        <v>0</v>
      </c>
      <c r="E7">
        <f>IF(LEN(D7)&gt;4,1,0)</f>
        <v>0</v>
      </c>
    </row>
    <row r="8" spans="1:5" ht="26.25" customHeight="1">
      <c r="A8" s="82" t="s">
        <v>266</v>
      </c>
      <c r="B8" s="82"/>
      <c r="C8" s="82"/>
      <c r="D8" s="45" t="b">
        <v>0</v>
      </c>
      <c r="E8">
        <f t="shared" ref="E8:E58" si="0">IF(LEN(D8)&gt;4,1,0)</f>
        <v>0</v>
      </c>
    </row>
    <row r="9" spans="1:5" ht="26.25" customHeight="1">
      <c r="A9" s="82" t="s">
        <v>267</v>
      </c>
      <c r="B9" s="82"/>
      <c r="C9" s="82"/>
      <c r="D9" s="45" t="b">
        <v>0</v>
      </c>
      <c r="E9">
        <f t="shared" si="0"/>
        <v>0</v>
      </c>
    </row>
    <row r="10" spans="1:5" ht="26.25" customHeight="1">
      <c r="A10" s="82" t="s">
        <v>268</v>
      </c>
      <c r="B10" s="82"/>
      <c r="C10" s="82"/>
      <c r="D10" s="45" t="b">
        <v>0</v>
      </c>
      <c r="E10">
        <f t="shared" si="0"/>
        <v>0</v>
      </c>
    </row>
    <row r="11" spans="1:5" ht="26.25" customHeight="1">
      <c r="A11" s="82" t="s">
        <v>269</v>
      </c>
      <c r="B11" s="82"/>
      <c r="C11" s="82"/>
      <c r="D11" s="45" t="b">
        <v>0</v>
      </c>
      <c r="E11">
        <f t="shared" si="0"/>
        <v>0</v>
      </c>
    </row>
    <row r="12" spans="1:5" ht="26.25" customHeight="1">
      <c r="A12" s="82" t="s">
        <v>270</v>
      </c>
      <c r="B12" s="82"/>
      <c r="C12" s="82"/>
      <c r="D12" s="45" t="b">
        <v>0</v>
      </c>
      <c r="E12">
        <f t="shared" si="0"/>
        <v>0</v>
      </c>
    </row>
    <row r="13" spans="1:5" ht="29.25" customHeight="1">
      <c r="A13" s="82" t="s">
        <v>271</v>
      </c>
      <c r="B13" s="82"/>
      <c r="C13" s="82"/>
      <c r="D13" s="45" t="b">
        <v>0</v>
      </c>
      <c r="E13">
        <f t="shared" si="0"/>
        <v>0</v>
      </c>
    </row>
    <row r="14" spans="1:5" ht="26.25" customHeight="1">
      <c r="A14" s="82" t="s">
        <v>272</v>
      </c>
      <c r="B14" s="82"/>
      <c r="C14" s="82"/>
      <c r="D14" s="45" t="b">
        <v>0</v>
      </c>
      <c r="E14">
        <f t="shared" si="0"/>
        <v>0</v>
      </c>
    </row>
    <row r="15" spans="1:5" ht="26.25" customHeight="1">
      <c r="A15" s="82" t="s">
        <v>273</v>
      </c>
      <c r="B15" s="82"/>
      <c r="C15" s="82"/>
      <c r="D15" s="45" t="b">
        <v>0</v>
      </c>
      <c r="E15">
        <f t="shared" si="0"/>
        <v>0</v>
      </c>
    </row>
    <row r="16" spans="1:5" ht="30" customHeight="1">
      <c r="A16" s="82" t="s">
        <v>274</v>
      </c>
      <c r="B16" s="82"/>
      <c r="C16" s="82"/>
      <c r="D16" s="45" t="b">
        <v>0</v>
      </c>
      <c r="E16">
        <f t="shared" si="0"/>
        <v>0</v>
      </c>
    </row>
    <row r="17" spans="1:5" ht="26.25" customHeight="1">
      <c r="A17" s="82" t="s">
        <v>275</v>
      </c>
      <c r="B17" s="82"/>
      <c r="C17" s="82"/>
      <c r="D17" s="45" t="b">
        <v>0</v>
      </c>
      <c r="E17">
        <f t="shared" si="0"/>
        <v>0</v>
      </c>
    </row>
    <row r="18" spans="1:5" ht="26.25" customHeight="1">
      <c r="A18" s="82" t="s">
        <v>276</v>
      </c>
      <c r="B18" s="82"/>
      <c r="C18" s="82"/>
      <c r="D18" s="45" t="b">
        <v>0</v>
      </c>
      <c r="E18">
        <f t="shared" si="0"/>
        <v>0</v>
      </c>
    </row>
    <row r="19" spans="1:5" ht="30" customHeight="1">
      <c r="A19" s="82" t="s">
        <v>277</v>
      </c>
      <c r="B19" s="82"/>
      <c r="C19" s="82"/>
      <c r="D19" s="45" t="b">
        <v>0</v>
      </c>
      <c r="E19">
        <f t="shared" si="0"/>
        <v>0</v>
      </c>
    </row>
    <row r="20" spans="1:5" ht="26.25" customHeight="1">
      <c r="A20" s="82" t="s">
        <v>278</v>
      </c>
      <c r="B20" s="82"/>
      <c r="C20" s="82"/>
      <c r="D20" s="45" t="b">
        <v>0</v>
      </c>
      <c r="E20">
        <f t="shared" si="0"/>
        <v>0</v>
      </c>
    </row>
    <row r="21" spans="1:5" ht="26.25" customHeight="1">
      <c r="A21" s="82" t="s">
        <v>279</v>
      </c>
      <c r="B21" s="82"/>
      <c r="C21" s="82"/>
      <c r="D21" s="45" t="b">
        <v>0</v>
      </c>
      <c r="E21">
        <f t="shared" si="0"/>
        <v>0</v>
      </c>
    </row>
    <row r="22" spans="1:5" ht="26.25" customHeight="1">
      <c r="A22" s="82" t="s">
        <v>280</v>
      </c>
      <c r="B22" s="82"/>
      <c r="C22" s="82"/>
      <c r="D22" s="45" t="b">
        <v>0</v>
      </c>
      <c r="E22">
        <f t="shared" si="0"/>
        <v>0</v>
      </c>
    </row>
    <row r="23" spans="1:5" ht="26.25" customHeight="1">
      <c r="A23" s="82" t="s">
        <v>281</v>
      </c>
      <c r="B23" s="82"/>
      <c r="C23" s="82"/>
      <c r="D23" s="45" t="b">
        <v>0</v>
      </c>
      <c r="E23">
        <f t="shared" si="0"/>
        <v>0</v>
      </c>
    </row>
    <row r="24" spans="1:5" ht="32.25" customHeight="1">
      <c r="A24" s="82" t="s">
        <v>282</v>
      </c>
      <c r="B24" s="82"/>
      <c r="C24" s="82"/>
      <c r="D24" s="45" t="b">
        <v>0</v>
      </c>
      <c r="E24">
        <f t="shared" si="0"/>
        <v>0</v>
      </c>
    </row>
    <row r="25" spans="1:5" ht="31.5" customHeight="1">
      <c r="A25" s="82" t="s">
        <v>283</v>
      </c>
      <c r="B25" s="82"/>
      <c r="C25" s="82"/>
      <c r="D25" s="45" t="b">
        <v>0</v>
      </c>
      <c r="E25">
        <f t="shared" si="0"/>
        <v>0</v>
      </c>
    </row>
    <row r="26" spans="1:5" ht="31.5" customHeight="1">
      <c r="A26" s="82" t="s">
        <v>284</v>
      </c>
      <c r="B26" s="82"/>
      <c r="C26" s="82"/>
      <c r="D26" s="45" t="b">
        <v>0</v>
      </c>
      <c r="E26">
        <f t="shared" si="0"/>
        <v>0</v>
      </c>
    </row>
    <row r="27" spans="1:5" ht="29.25" customHeight="1">
      <c r="A27" s="82" t="s">
        <v>285</v>
      </c>
      <c r="B27" s="82"/>
      <c r="C27" s="82"/>
      <c r="D27" s="45" t="b">
        <v>0</v>
      </c>
      <c r="E27">
        <f t="shared" si="0"/>
        <v>0</v>
      </c>
    </row>
    <row r="28" spans="1:5" ht="26.25" customHeight="1">
      <c r="A28" s="82" t="s">
        <v>286</v>
      </c>
      <c r="B28" s="82"/>
      <c r="C28" s="82"/>
      <c r="D28" s="45" t="b">
        <v>0</v>
      </c>
      <c r="E28">
        <f t="shared" si="0"/>
        <v>0</v>
      </c>
    </row>
    <row r="29" spans="1:5" ht="26.25" customHeight="1">
      <c r="A29" s="82" t="s">
        <v>287</v>
      </c>
      <c r="B29" s="82"/>
      <c r="C29" s="82"/>
      <c r="D29" s="45" t="b">
        <v>0</v>
      </c>
      <c r="E29">
        <f t="shared" si="0"/>
        <v>0</v>
      </c>
    </row>
    <row r="30" spans="1:5" ht="26.25" customHeight="1">
      <c r="A30" s="82" t="s">
        <v>288</v>
      </c>
      <c r="B30" s="82"/>
      <c r="C30" s="82"/>
      <c r="D30" s="45" t="b">
        <v>0</v>
      </c>
      <c r="E30">
        <f t="shared" si="0"/>
        <v>0</v>
      </c>
    </row>
    <row r="31" spans="1:5" ht="26.25" customHeight="1">
      <c r="A31" s="82" t="s">
        <v>289</v>
      </c>
      <c r="B31" s="82"/>
      <c r="C31" s="82"/>
      <c r="D31" s="45" t="b">
        <v>0</v>
      </c>
      <c r="E31">
        <f t="shared" si="0"/>
        <v>0</v>
      </c>
    </row>
    <row r="32" spans="1:5" ht="26.25" customHeight="1">
      <c r="A32" s="82" t="s">
        <v>290</v>
      </c>
      <c r="B32" s="82"/>
      <c r="C32" s="82"/>
      <c r="D32" s="45" t="b">
        <v>0</v>
      </c>
      <c r="E32">
        <f t="shared" si="0"/>
        <v>0</v>
      </c>
    </row>
    <row r="33" spans="1:5" ht="26.25" customHeight="1">
      <c r="A33" s="82" t="s">
        <v>291</v>
      </c>
      <c r="B33" s="82"/>
      <c r="C33" s="82"/>
      <c r="D33" s="45" t="b">
        <v>0</v>
      </c>
      <c r="E33">
        <f t="shared" si="0"/>
        <v>0</v>
      </c>
    </row>
    <row r="34" spans="1:5" ht="26.25" customHeight="1">
      <c r="A34" s="82" t="s">
        <v>292</v>
      </c>
      <c r="B34" s="82"/>
      <c r="C34" s="82"/>
      <c r="D34" s="45" t="b">
        <v>0</v>
      </c>
      <c r="E34">
        <f t="shared" si="0"/>
        <v>0</v>
      </c>
    </row>
    <row r="35" spans="1:5" ht="26.25" customHeight="1">
      <c r="A35" s="82" t="s">
        <v>293</v>
      </c>
      <c r="B35" s="82"/>
      <c r="C35" s="82"/>
      <c r="D35" s="45" t="b">
        <v>0</v>
      </c>
      <c r="E35">
        <f t="shared" si="0"/>
        <v>0</v>
      </c>
    </row>
    <row r="36" spans="1:5" ht="26.25" customHeight="1">
      <c r="A36" s="82" t="s">
        <v>294</v>
      </c>
      <c r="B36" s="82"/>
      <c r="C36" s="82"/>
      <c r="D36" s="45" t="b">
        <v>0</v>
      </c>
      <c r="E36">
        <f t="shared" si="0"/>
        <v>0</v>
      </c>
    </row>
    <row r="37" spans="1:5" ht="26.25" customHeight="1">
      <c r="A37" s="82" t="s">
        <v>295</v>
      </c>
      <c r="B37" s="82"/>
      <c r="C37" s="82"/>
      <c r="D37" s="45" t="b">
        <v>0</v>
      </c>
      <c r="E37">
        <f t="shared" si="0"/>
        <v>0</v>
      </c>
    </row>
    <row r="38" spans="1:5" ht="26.25" customHeight="1">
      <c r="A38" s="82" t="s">
        <v>296</v>
      </c>
      <c r="B38" s="82"/>
      <c r="C38" s="82"/>
      <c r="D38" s="45" t="b">
        <v>0</v>
      </c>
      <c r="E38">
        <f t="shared" si="0"/>
        <v>0</v>
      </c>
    </row>
    <row r="39" spans="1:5" ht="26.25" customHeight="1">
      <c r="A39" s="82" t="s">
        <v>297</v>
      </c>
      <c r="B39" s="82"/>
      <c r="C39" s="82"/>
      <c r="D39" s="45" t="b">
        <v>0</v>
      </c>
      <c r="E39">
        <f t="shared" si="0"/>
        <v>0</v>
      </c>
    </row>
    <row r="40" spans="1:5" ht="26.25" customHeight="1">
      <c r="A40" s="82" t="s">
        <v>298</v>
      </c>
      <c r="B40" s="82"/>
      <c r="C40" s="82"/>
      <c r="D40" s="45" t="b">
        <v>0</v>
      </c>
      <c r="E40">
        <f t="shared" si="0"/>
        <v>0</v>
      </c>
    </row>
    <row r="41" spans="1:5" ht="26.25" customHeight="1">
      <c r="A41" s="82" t="s">
        <v>299</v>
      </c>
      <c r="B41" s="82"/>
      <c r="C41" s="82"/>
      <c r="D41" s="45" t="b">
        <v>0</v>
      </c>
      <c r="E41">
        <f t="shared" si="0"/>
        <v>0</v>
      </c>
    </row>
    <row r="42" spans="1:5" ht="26.25" customHeight="1">
      <c r="A42" s="82" t="s">
        <v>300</v>
      </c>
      <c r="B42" s="82"/>
      <c r="C42" s="82"/>
      <c r="D42" s="45" t="b">
        <v>0</v>
      </c>
      <c r="E42">
        <f t="shared" si="0"/>
        <v>0</v>
      </c>
    </row>
    <row r="43" spans="1:5" ht="74.25" customHeight="1">
      <c r="A43" s="82" t="s">
        <v>301</v>
      </c>
      <c r="B43" s="82"/>
      <c r="C43" s="82"/>
      <c r="D43" s="45" t="b">
        <v>0</v>
      </c>
      <c r="E43">
        <f t="shared" si="0"/>
        <v>0</v>
      </c>
    </row>
    <row r="44" spans="1:5" ht="26.25" customHeight="1">
      <c r="A44" s="82" t="s">
        <v>302</v>
      </c>
      <c r="B44" s="82"/>
      <c r="C44" s="82"/>
      <c r="D44" s="45" t="b">
        <v>0</v>
      </c>
      <c r="E44">
        <f t="shared" si="0"/>
        <v>0</v>
      </c>
    </row>
    <row r="45" spans="1:5" ht="26.25" customHeight="1">
      <c r="A45" s="82" t="s">
        <v>303</v>
      </c>
      <c r="B45" s="82"/>
      <c r="C45" s="82"/>
      <c r="D45" s="45" t="b">
        <v>0</v>
      </c>
      <c r="E45">
        <f t="shared" si="0"/>
        <v>0</v>
      </c>
    </row>
    <row r="46" spans="1:5" ht="26.25" customHeight="1">
      <c r="A46" s="82" t="s">
        <v>304</v>
      </c>
      <c r="B46" s="82"/>
      <c r="C46" s="82"/>
      <c r="D46" s="45" t="b">
        <v>0</v>
      </c>
      <c r="E46">
        <f t="shared" si="0"/>
        <v>0</v>
      </c>
    </row>
    <row r="47" spans="1:5" ht="26.25" customHeight="1">
      <c r="A47" s="82" t="s">
        <v>305</v>
      </c>
      <c r="B47" s="82"/>
      <c r="C47" s="82"/>
      <c r="D47" s="45" t="b">
        <v>0</v>
      </c>
      <c r="E47">
        <f t="shared" si="0"/>
        <v>0</v>
      </c>
    </row>
    <row r="48" spans="1:5" ht="26.25" customHeight="1">
      <c r="A48" s="82" t="s">
        <v>306</v>
      </c>
      <c r="B48" s="82"/>
      <c r="C48" s="82"/>
      <c r="D48" s="45" t="b">
        <v>0</v>
      </c>
      <c r="E48">
        <f t="shared" si="0"/>
        <v>0</v>
      </c>
    </row>
    <row r="49" spans="1:5" ht="26.25" customHeight="1">
      <c r="A49" s="82" t="s">
        <v>307</v>
      </c>
      <c r="B49" s="82"/>
      <c r="C49" s="82"/>
      <c r="D49" s="45" t="b">
        <v>0</v>
      </c>
      <c r="E49">
        <f t="shared" si="0"/>
        <v>0</v>
      </c>
    </row>
    <row r="50" spans="1:5" ht="26.25" customHeight="1">
      <c r="A50" s="82" t="s">
        <v>308</v>
      </c>
      <c r="B50" s="82"/>
      <c r="C50" s="82"/>
      <c r="D50" s="45" t="b">
        <v>0</v>
      </c>
      <c r="E50">
        <f t="shared" si="0"/>
        <v>0</v>
      </c>
    </row>
    <row r="51" spans="1:5" ht="30" customHeight="1">
      <c r="A51" s="82" t="s">
        <v>309</v>
      </c>
      <c r="B51" s="82"/>
      <c r="C51" s="82"/>
      <c r="D51" s="45" t="b">
        <v>0</v>
      </c>
      <c r="E51">
        <f t="shared" si="0"/>
        <v>0</v>
      </c>
    </row>
    <row r="52" spans="1:5" ht="46.5" customHeight="1">
      <c r="A52" s="82" t="s">
        <v>310</v>
      </c>
      <c r="B52" s="82"/>
      <c r="C52" s="82"/>
      <c r="D52" s="45" t="b">
        <v>0</v>
      </c>
      <c r="E52">
        <f t="shared" si="0"/>
        <v>0</v>
      </c>
    </row>
    <row r="53" spans="1:5" ht="26.25" customHeight="1">
      <c r="A53" s="82" t="s">
        <v>311</v>
      </c>
      <c r="B53" s="82"/>
      <c r="C53" s="82"/>
      <c r="D53" s="45" t="b">
        <v>0</v>
      </c>
      <c r="E53">
        <f t="shared" si="0"/>
        <v>0</v>
      </c>
    </row>
    <row r="54" spans="1:5" ht="26.25" customHeight="1">
      <c r="A54" s="82" t="s">
        <v>312</v>
      </c>
      <c r="B54" s="82"/>
      <c r="C54" s="82"/>
      <c r="D54" s="45" t="b">
        <v>0</v>
      </c>
      <c r="E54">
        <f t="shared" si="0"/>
        <v>0</v>
      </c>
    </row>
    <row r="55" spans="1:5" ht="26.25" customHeight="1">
      <c r="A55" s="82" t="s">
        <v>313</v>
      </c>
      <c r="B55" s="82"/>
      <c r="C55" s="82"/>
      <c r="D55" s="45" t="b">
        <v>0</v>
      </c>
      <c r="E55">
        <f t="shared" si="0"/>
        <v>0</v>
      </c>
    </row>
    <row r="56" spans="1:5" ht="26.25" customHeight="1">
      <c r="A56" s="82" t="s">
        <v>314</v>
      </c>
      <c r="B56" s="82"/>
      <c r="C56" s="82"/>
      <c r="D56" s="45" t="b">
        <v>0</v>
      </c>
      <c r="E56">
        <f t="shared" si="0"/>
        <v>0</v>
      </c>
    </row>
    <row r="57" spans="1:5" ht="26.25" customHeight="1">
      <c r="A57" s="82" t="s">
        <v>315</v>
      </c>
      <c r="B57" s="82"/>
      <c r="C57" s="82"/>
      <c r="D57" s="45" t="b">
        <v>0</v>
      </c>
      <c r="E57">
        <f t="shared" si="0"/>
        <v>0</v>
      </c>
    </row>
    <row r="58" spans="1:5" ht="26.25" customHeight="1">
      <c r="A58" s="81" t="s">
        <v>316</v>
      </c>
      <c r="B58" s="81"/>
      <c r="C58" s="81"/>
      <c r="D58" s="45" t="b">
        <v>0</v>
      </c>
      <c r="E58">
        <f t="shared" si="0"/>
        <v>0</v>
      </c>
    </row>
    <row r="59" spans="1:5">
      <c r="E59">
        <f>SUM(E7:E58)</f>
        <v>0</v>
      </c>
    </row>
  </sheetData>
  <sheetProtection sheet="1" objects="1" scenarios="1" selectLockedCells="1"/>
  <mergeCells count="57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7:C37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9:C49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56:C56"/>
    <mergeCell ref="A57:C57"/>
    <mergeCell ref="A58:C58"/>
    <mergeCell ref="A50:C50"/>
    <mergeCell ref="A51:C51"/>
    <mergeCell ref="A52:C52"/>
    <mergeCell ref="A53:C53"/>
    <mergeCell ref="A54:C54"/>
    <mergeCell ref="A55:C55"/>
  </mergeCells>
  <conditionalFormatting sqref="A7">
    <cfRule type="duplicateValues" dxfId="49" priority="2"/>
  </conditionalFormatting>
  <conditionalFormatting sqref="A8:A58">
    <cfRule type="duplicateValues" dxfId="48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 codeName="Лист24"/>
  <dimension ref="A1:E44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29.25" customHeight="1">
      <c r="A7" s="82" t="s">
        <v>317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318</v>
      </c>
      <c r="B8" s="82"/>
      <c r="C8" s="82"/>
      <c r="D8" s="46" t="b">
        <v>0</v>
      </c>
      <c r="E8" s="1">
        <f t="shared" ref="E8:E43" si="0">IF(LEN(D8)&gt;4,1,0)</f>
        <v>0</v>
      </c>
    </row>
    <row r="9" spans="1:5" s="1" customFormat="1" ht="29.25" customHeight="1">
      <c r="A9" s="82" t="s">
        <v>319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2" t="s">
        <v>320</v>
      </c>
      <c r="B10" s="82"/>
      <c r="C10" s="82"/>
      <c r="D10" s="46" t="b">
        <v>0</v>
      </c>
      <c r="E10" s="1">
        <f t="shared" si="0"/>
        <v>0</v>
      </c>
    </row>
    <row r="11" spans="1:5" s="1" customFormat="1" ht="29.25" customHeight="1">
      <c r="A11" s="82" t="s">
        <v>275</v>
      </c>
      <c r="B11" s="82"/>
      <c r="C11" s="82"/>
      <c r="D11" s="46" t="b">
        <v>0</v>
      </c>
      <c r="E11" s="1">
        <f t="shared" si="0"/>
        <v>0</v>
      </c>
    </row>
    <row r="12" spans="1:5" s="1" customFormat="1" ht="29.25" customHeight="1">
      <c r="A12" s="82" t="s">
        <v>321</v>
      </c>
      <c r="B12" s="82"/>
      <c r="C12" s="82"/>
      <c r="D12" s="46" t="b">
        <v>0</v>
      </c>
      <c r="E12" s="1">
        <f t="shared" si="0"/>
        <v>0</v>
      </c>
    </row>
    <row r="13" spans="1:5" s="1" customFormat="1" ht="29.25" customHeight="1">
      <c r="A13" s="82" t="s">
        <v>322</v>
      </c>
      <c r="B13" s="82"/>
      <c r="C13" s="82"/>
      <c r="D13" s="46" t="b">
        <v>0</v>
      </c>
      <c r="E13" s="1">
        <f t="shared" si="0"/>
        <v>0</v>
      </c>
    </row>
    <row r="14" spans="1:5" s="1" customFormat="1" ht="29.25" customHeight="1">
      <c r="A14" s="82" t="s">
        <v>323</v>
      </c>
      <c r="B14" s="82"/>
      <c r="C14" s="82"/>
      <c r="D14" s="46" t="b">
        <v>0</v>
      </c>
      <c r="E14" s="1">
        <f t="shared" si="0"/>
        <v>0</v>
      </c>
    </row>
    <row r="15" spans="1:5" s="1" customFormat="1" ht="29.25" customHeight="1">
      <c r="A15" s="82" t="s">
        <v>324</v>
      </c>
      <c r="B15" s="82"/>
      <c r="C15" s="82"/>
      <c r="D15" s="46" t="b">
        <v>0</v>
      </c>
      <c r="E15" s="1">
        <f t="shared" si="0"/>
        <v>0</v>
      </c>
    </row>
    <row r="16" spans="1:5" s="1" customFormat="1" ht="29.25" customHeight="1">
      <c r="A16" s="82" t="s">
        <v>325</v>
      </c>
      <c r="B16" s="82"/>
      <c r="C16" s="82"/>
      <c r="D16" s="46" t="b">
        <v>0</v>
      </c>
      <c r="E16" s="1">
        <f t="shared" si="0"/>
        <v>0</v>
      </c>
    </row>
    <row r="17" spans="1:5" s="1" customFormat="1" ht="29.25" customHeight="1">
      <c r="A17" s="82" t="s">
        <v>326</v>
      </c>
      <c r="B17" s="82"/>
      <c r="C17" s="82"/>
      <c r="D17" s="46" t="b">
        <v>0</v>
      </c>
      <c r="E17" s="1">
        <f t="shared" si="0"/>
        <v>0</v>
      </c>
    </row>
    <row r="18" spans="1:5" s="1" customFormat="1" ht="29.25" customHeight="1">
      <c r="A18" s="82" t="s">
        <v>327</v>
      </c>
      <c r="B18" s="82"/>
      <c r="C18" s="82"/>
      <c r="D18" s="46" t="b">
        <v>0</v>
      </c>
      <c r="E18" s="1">
        <f t="shared" si="0"/>
        <v>0</v>
      </c>
    </row>
    <row r="19" spans="1:5" s="1" customFormat="1" ht="45" customHeight="1">
      <c r="A19" s="82" t="s">
        <v>328</v>
      </c>
      <c r="B19" s="82"/>
      <c r="C19" s="82"/>
      <c r="D19" s="46" t="b">
        <v>0</v>
      </c>
      <c r="E19" s="1">
        <f t="shared" si="0"/>
        <v>0</v>
      </c>
    </row>
    <row r="20" spans="1:5" s="1" customFormat="1" ht="47.25" customHeight="1">
      <c r="A20" s="82" t="s">
        <v>329</v>
      </c>
      <c r="B20" s="82"/>
      <c r="C20" s="82"/>
      <c r="D20" s="46" t="b">
        <v>0</v>
      </c>
      <c r="E20" s="1">
        <f t="shared" si="0"/>
        <v>0</v>
      </c>
    </row>
    <row r="21" spans="1:5" s="1" customFormat="1" ht="29.25" customHeight="1">
      <c r="A21" s="82" t="s">
        <v>330</v>
      </c>
      <c r="B21" s="82"/>
      <c r="C21" s="82"/>
      <c r="D21" s="46" t="b">
        <v>0</v>
      </c>
      <c r="E21" s="1">
        <f t="shared" si="0"/>
        <v>0</v>
      </c>
    </row>
    <row r="22" spans="1:5" s="1" customFormat="1" ht="29.25" customHeight="1">
      <c r="A22" s="82" t="s">
        <v>331</v>
      </c>
      <c r="B22" s="82"/>
      <c r="C22" s="82"/>
      <c r="D22" s="46" t="b">
        <v>0</v>
      </c>
      <c r="E22" s="1">
        <f t="shared" si="0"/>
        <v>0</v>
      </c>
    </row>
    <row r="23" spans="1:5" s="1" customFormat="1" ht="29.25" customHeight="1">
      <c r="A23" s="82" t="s">
        <v>332</v>
      </c>
      <c r="B23" s="82"/>
      <c r="C23" s="82"/>
      <c r="D23" s="46" t="b">
        <v>0</v>
      </c>
      <c r="E23" s="1">
        <f t="shared" si="0"/>
        <v>0</v>
      </c>
    </row>
    <row r="24" spans="1:5" s="1" customFormat="1" ht="29.25" customHeight="1">
      <c r="A24" s="82" t="s">
        <v>333</v>
      </c>
      <c r="B24" s="82"/>
      <c r="C24" s="82"/>
      <c r="D24" s="46" t="b">
        <v>0</v>
      </c>
      <c r="E24" s="1">
        <f t="shared" si="0"/>
        <v>0</v>
      </c>
    </row>
    <row r="25" spans="1:5" s="1" customFormat="1" ht="29.25" customHeight="1">
      <c r="A25" s="82" t="s">
        <v>334</v>
      </c>
      <c r="B25" s="82"/>
      <c r="C25" s="82"/>
      <c r="D25" s="46" t="b">
        <v>0</v>
      </c>
      <c r="E25" s="1">
        <f t="shared" si="0"/>
        <v>0</v>
      </c>
    </row>
    <row r="26" spans="1:5" s="1" customFormat="1" ht="29.25" customHeight="1">
      <c r="A26" s="82" t="s">
        <v>335</v>
      </c>
      <c r="B26" s="82"/>
      <c r="C26" s="82"/>
      <c r="D26" s="46" t="b">
        <v>0</v>
      </c>
      <c r="E26" s="1">
        <f t="shared" si="0"/>
        <v>0</v>
      </c>
    </row>
    <row r="27" spans="1:5" s="1" customFormat="1" ht="29.25" customHeight="1">
      <c r="A27" s="82" t="s">
        <v>294</v>
      </c>
      <c r="B27" s="82"/>
      <c r="C27" s="82"/>
      <c r="D27" s="46" t="b">
        <v>0</v>
      </c>
      <c r="E27" s="1">
        <f t="shared" si="0"/>
        <v>0</v>
      </c>
    </row>
    <row r="28" spans="1:5" s="1" customFormat="1" ht="29.25" customHeight="1">
      <c r="A28" s="82" t="s">
        <v>295</v>
      </c>
      <c r="B28" s="82"/>
      <c r="C28" s="82"/>
      <c r="D28" s="46" t="b">
        <v>0</v>
      </c>
      <c r="E28" s="1">
        <f t="shared" si="0"/>
        <v>0</v>
      </c>
    </row>
    <row r="29" spans="1:5" s="1" customFormat="1" ht="29.25" customHeight="1">
      <c r="A29" s="82" t="s">
        <v>296</v>
      </c>
      <c r="B29" s="82"/>
      <c r="C29" s="82"/>
      <c r="D29" s="46" t="b">
        <v>0</v>
      </c>
      <c r="E29" s="1">
        <f t="shared" si="0"/>
        <v>0</v>
      </c>
    </row>
    <row r="30" spans="1:5" s="1" customFormat="1" ht="29.25" customHeight="1">
      <c r="A30" s="82" t="s">
        <v>336</v>
      </c>
      <c r="B30" s="82"/>
      <c r="C30" s="82"/>
      <c r="D30" s="46" t="b">
        <v>0</v>
      </c>
      <c r="E30" s="1">
        <f t="shared" si="0"/>
        <v>0</v>
      </c>
    </row>
    <row r="31" spans="1:5" s="1" customFormat="1" ht="29.25" customHeight="1">
      <c r="A31" s="82" t="s">
        <v>337</v>
      </c>
      <c r="B31" s="82"/>
      <c r="C31" s="82"/>
      <c r="D31" s="46" t="b">
        <v>0</v>
      </c>
      <c r="E31" s="1">
        <f t="shared" si="0"/>
        <v>0</v>
      </c>
    </row>
    <row r="32" spans="1:5" s="1" customFormat="1" ht="29.25" customHeight="1">
      <c r="A32" s="82" t="s">
        <v>338</v>
      </c>
      <c r="B32" s="82"/>
      <c r="C32" s="82"/>
      <c r="D32" s="46" t="b">
        <v>0</v>
      </c>
      <c r="E32" s="1">
        <f t="shared" si="0"/>
        <v>0</v>
      </c>
    </row>
    <row r="33" spans="1:5" s="1" customFormat="1" ht="29.25" customHeight="1">
      <c r="A33" s="82" t="s">
        <v>339</v>
      </c>
      <c r="B33" s="82"/>
      <c r="C33" s="82"/>
      <c r="D33" s="46" t="b">
        <v>0</v>
      </c>
      <c r="E33" s="1">
        <f t="shared" si="0"/>
        <v>0</v>
      </c>
    </row>
    <row r="34" spans="1:5" s="1" customFormat="1" ht="29.25" customHeight="1">
      <c r="A34" s="82" t="s">
        <v>340</v>
      </c>
      <c r="B34" s="82"/>
      <c r="C34" s="82"/>
      <c r="D34" s="46" t="b">
        <v>0</v>
      </c>
      <c r="E34" s="1">
        <f t="shared" si="0"/>
        <v>0</v>
      </c>
    </row>
    <row r="35" spans="1:5" s="1" customFormat="1" ht="29.25" customHeight="1">
      <c r="A35" s="82" t="s">
        <v>341</v>
      </c>
      <c r="B35" s="82"/>
      <c r="C35" s="82"/>
      <c r="D35" s="46" t="b">
        <v>0</v>
      </c>
      <c r="E35" s="1">
        <f t="shared" si="0"/>
        <v>0</v>
      </c>
    </row>
    <row r="36" spans="1:5" s="1" customFormat="1" ht="29.25" customHeight="1">
      <c r="A36" s="82" t="s">
        <v>305</v>
      </c>
      <c r="B36" s="82"/>
      <c r="C36" s="82"/>
      <c r="D36" s="46" t="b">
        <v>0</v>
      </c>
      <c r="E36" s="1">
        <f t="shared" si="0"/>
        <v>0</v>
      </c>
    </row>
    <row r="37" spans="1:5" s="1" customFormat="1" ht="29.25" customHeight="1">
      <c r="A37" s="82" t="s">
        <v>306</v>
      </c>
      <c r="B37" s="82"/>
      <c r="C37" s="82"/>
      <c r="D37" s="46" t="b">
        <v>0</v>
      </c>
      <c r="E37" s="1">
        <f t="shared" si="0"/>
        <v>0</v>
      </c>
    </row>
    <row r="38" spans="1:5" s="1" customFormat="1" ht="29.25" customHeight="1">
      <c r="A38" s="82" t="s">
        <v>342</v>
      </c>
      <c r="B38" s="82"/>
      <c r="C38" s="82"/>
      <c r="D38" s="46" t="b">
        <v>0</v>
      </c>
      <c r="E38" s="1">
        <f t="shared" si="0"/>
        <v>0</v>
      </c>
    </row>
    <row r="39" spans="1:5" s="1" customFormat="1" ht="29.25" customHeight="1">
      <c r="A39" s="82" t="s">
        <v>343</v>
      </c>
      <c r="B39" s="82"/>
      <c r="C39" s="82"/>
      <c r="D39" s="46" t="b">
        <v>0</v>
      </c>
      <c r="E39" s="1">
        <f t="shared" si="0"/>
        <v>0</v>
      </c>
    </row>
    <row r="40" spans="1:5" s="1" customFormat="1" ht="29.25" customHeight="1">
      <c r="A40" s="82" t="s">
        <v>344</v>
      </c>
      <c r="B40" s="82"/>
      <c r="C40" s="82"/>
      <c r="D40" s="46" t="b">
        <v>0</v>
      </c>
      <c r="E40" s="1">
        <f t="shared" si="0"/>
        <v>0</v>
      </c>
    </row>
    <row r="41" spans="1:5" s="1" customFormat="1" ht="29.25" customHeight="1">
      <c r="A41" s="82" t="s">
        <v>345</v>
      </c>
      <c r="B41" s="82"/>
      <c r="C41" s="82"/>
      <c r="D41" s="46" t="b">
        <v>0</v>
      </c>
      <c r="E41" s="1">
        <f t="shared" si="0"/>
        <v>0</v>
      </c>
    </row>
    <row r="42" spans="1:5" s="1" customFormat="1" ht="29.25" customHeight="1">
      <c r="A42" s="82" t="s">
        <v>346</v>
      </c>
      <c r="B42" s="82"/>
      <c r="C42" s="82"/>
      <c r="D42" s="46" t="b">
        <v>0</v>
      </c>
      <c r="E42" s="1">
        <f t="shared" si="0"/>
        <v>0</v>
      </c>
    </row>
    <row r="43" spans="1:5" s="1" customFormat="1" ht="29.25" customHeight="1">
      <c r="A43" s="83" t="s">
        <v>347</v>
      </c>
      <c r="B43" s="83"/>
      <c r="C43" s="83"/>
      <c r="D43" s="46" t="b">
        <v>0</v>
      </c>
      <c r="E43" s="1">
        <f t="shared" si="0"/>
        <v>0</v>
      </c>
    </row>
    <row r="44" spans="1:5">
      <c r="E44" s="1">
        <f>SUM(E7:E43)</f>
        <v>0</v>
      </c>
    </row>
  </sheetData>
  <sheetProtection sheet="1" objects="1" scenarios="1" selectLockedCells="1"/>
  <mergeCells count="42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43:C43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</mergeCells>
  <conditionalFormatting sqref="A7">
    <cfRule type="duplicateValues" dxfId="47" priority="2"/>
  </conditionalFormatting>
  <conditionalFormatting sqref="A8:A43">
    <cfRule type="duplicateValues" dxfId="46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 codeName="Лист25"/>
  <dimension ref="A1:E44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29.25" customHeight="1">
      <c r="A7" s="82" t="s">
        <v>317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318</v>
      </c>
      <c r="B8" s="82"/>
      <c r="C8" s="82"/>
      <c r="D8" s="46" t="b">
        <v>0</v>
      </c>
      <c r="E8" s="1">
        <f t="shared" ref="E8:E43" si="0">IF(LEN(D8)&gt;4,1,0)</f>
        <v>0</v>
      </c>
    </row>
    <row r="9" spans="1:5" s="1" customFormat="1" ht="29.25" customHeight="1">
      <c r="A9" s="82" t="s">
        <v>319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2" t="s">
        <v>320</v>
      </c>
      <c r="B10" s="82"/>
      <c r="C10" s="82"/>
      <c r="D10" s="46" t="b">
        <v>0</v>
      </c>
      <c r="E10" s="1">
        <f t="shared" si="0"/>
        <v>0</v>
      </c>
    </row>
    <row r="11" spans="1:5" s="1" customFormat="1" ht="29.25" customHeight="1">
      <c r="A11" s="82" t="s">
        <v>275</v>
      </c>
      <c r="B11" s="82"/>
      <c r="C11" s="82"/>
      <c r="D11" s="46" t="b">
        <v>0</v>
      </c>
      <c r="E11" s="1">
        <f t="shared" si="0"/>
        <v>0</v>
      </c>
    </row>
    <row r="12" spans="1:5" s="1" customFormat="1" ht="29.25" customHeight="1">
      <c r="A12" s="82" t="s">
        <v>321</v>
      </c>
      <c r="B12" s="82"/>
      <c r="C12" s="82"/>
      <c r="D12" s="46" t="b">
        <v>0</v>
      </c>
      <c r="E12" s="1">
        <f t="shared" si="0"/>
        <v>0</v>
      </c>
    </row>
    <row r="13" spans="1:5" s="1" customFormat="1" ht="29.25" customHeight="1">
      <c r="A13" s="82" t="s">
        <v>322</v>
      </c>
      <c r="B13" s="82"/>
      <c r="C13" s="82"/>
      <c r="D13" s="46" t="b">
        <v>0</v>
      </c>
      <c r="E13" s="1">
        <f t="shared" si="0"/>
        <v>0</v>
      </c>
    </row>
    <row r="14" spans="1:5" s="1" customFormat="1" ht="29.25" customHeight="1">
      <c r="A14" s="82" t="s">
        <v>323</v>
      </c>
      <c r="B14" s="82"/>
      <c r="C14" s="82"/>
      <c r="D14" s="46" t="b">
        <v>0</v>
      </c>
      <c r="E14" s="1">
        <f t="shared" si="0"/>
        <v>0</v>
      </c>
    </row>
    <row r="15" spans="1:5" s="1" customFormat="1" ht="29.25" customHeight="1">
      <c r="A15" s="82" t="s">
        <v>324</v>
      </c>
      <c r="B15" s="82"/>
      <c r="C15" s="82"/>
      <c r="D15" s="46" t="b">
        <v>0</v>
      </c>
      <c r="E15" s="1">
        <f t="shared" si="0"/>
        <v>0</v>
      </c>
    </row>
    <row r="16" spans="1:5" s="1" customFormat="1" ht="29.25" customHeight="1">
      <c r="A16" s="82" t="s">
        <v>325</v>
      </c>
      <c r="B16" s="82"/>
      <c r="C16" s="82"/>
      <c r="D16" s="46" t="b">
        <v>0</v>
      </c>
      <c r="E16" s="1">
        <f t="shared" si="0"/>
        <v>0</v>
      </c>
    </row>
    <row r="17" spans="1:5" s="1" customFormat="1" ht="29.25" customHeight="1">
      <c r="A17" s="82" t="s">
        <v>326</v>
      </c>
      <c r="B17" s="82"/>
      <c r="C17" s="82"/>
      <c r="D17" s="46" t="b">
        <v>0</v>
      </c>
      <c r="E17" s="1">
        <f t="shared" si="0"/>
        <v>0</v>
      </c>
    </row>
    <row r="18" spans="1:5" s="1" customFormat="1" ht="29.25" customHeight="1">
      <c r="A18" s="82" t="s">
        <v>327</v>
      </c>
      <c r="B18" s="82"/>
      <c r="C18" s="82"/>
      <c r="D18" s="46" t="b">
        <v>0</v>
      </c>
      <c r="E18" s="1">
        <f t="shared" si="0"/>
        <v>0</v>
      </c>
    </row>
    <row r="19" spans="1:5" s="1" customFormat="1" ht="45" customHeight="1">
      <c r="A19" s="82" t="s">
        <v>328</v>
      </c>
      <c r="B19" s="82"/>
      <c r="C19" s="82"/>
      <c r="D19" s="46" t="b">
        <v>0</v>
      </c>
      <c r="E19" s="1">
        <f t="shared" si="0"/>
        <v>0</v>
      </c>
    </row>
    <row r="20" spans="1:5" s="1" customFormat="1" ht="47.25" customHeight="1">
      <c r="A20" s="82" t="s">
        <v>329</v>
      </c>
      <c r="B20" s="82"/>
      <c r="C20" s="82"/>
      <c r="D20" s="46" t="b">
        <v>0</v>
      </c>
      <c r="E20" s="1">
        <f t="shared" si="0"/>
        <v>0</v>
      </c>
    </row>
    <row r="21" spans="1:5" s="1" customFormat="1" ht="29.25" customHeight="1">
      <c r="A21" s="82" t="s">
        <v>330</v>
      </c>
      <c r="B21" s="82"/>
      <c r="C21" s="82"/>
      <c r="D21" s="46" t="b">
        <v>0</v>
      </c>
      <c r="E21" s="1">
        <f t="shared" si="0"/>
        <v>0</v>
      </c>
    </row>
    <row r="22" spans="1:5" s="1" customFormat="1" ht="29.25" customHeight="1">
      <c r="A22" s="82" t="s">
        <v>331</v>
      </c>
      <c r="B22" s="82"/>
      <c r="C22" s="82"/>
      <c r="D22" s="46" t="b">
        <v>0</v>
      </c>
      <c r="E22" s="1">
        <f t="shared" si="0"/>
        <v>0</v>
      </c>
    </row>
    <row r="23" spans="1:5" s="1" customFormat="1" ht="29.25" customHeight="1">
      <c r="A23" s="82" t="s">
        <v>332</v>
      </c>
      <c r="B23" s="82"/>
      <c r="C23" s="82"/>
      <c r="D23" s="46" t="b">
        <v>0</v>
      </c>
      <c r="E23" s="1">
        <f t="shared" si="0"/>
        <v>0</v>
      </c>
    </row>
    <row r="24" spans="1:5" s="1" customFormat="1" ht="29.25" customHeight="1">
      <c r="A24" s="82" t="s">
        <v>333</v>
      </c>
      <c r="B24" s="82"/>
      <c r="C24" s="82"/>
      <c r="D24" s="46" t="b">
        <v>0</v>
      </c>
      <c r="E24" s="1">
        <f t="shared" si="0"/>
        <v>0</v>
      </c>
    </row>
    <row r="25" spans="1:5" s="1" customFormat="1" ht="29.25" customHeight="1">
      <c r="A25" s="82" t="s">
        <v>334</v>
      </c>
      <c r="B25" s="82"/>
      <c r="C25" s="82"/>
      <c r="D25" s="46" t="b">
        <v>0</v>
      </c>
      <c r="E25" s="1">
        <f t="shared" si="0"/>
        <v>0</v>
      </c>
    </row>
    <row r="26" spans="1:5" s="1" customFormat="1" ht="29.25" customHeight="1">
      <c r="A26" s="82" t="s">
        <v>335</v>
      </c>
      <c r="B26" s="82"/>
      <c r="C26" s="82"/>
      <c r="D26" s="46" t="b">
        <v>0</v>
      </c>
      <c r="E26" s="1">
        <f t="shared" si="0"/>
        <v>0</v>
      </c>
    </row>
    <row r="27" spans="1:5" s="1" customFormat="1" ht="29.25" customHeight="1">
      <c r="A27" s="82" t="s">
        <v>294</v>
      </c>
      <c r="B27" s="82"/>
      <c r="C27" s="82"/>
      <c r="D27" s="46" t="b">
        <v>0</v>
      </c>
      <c r="E27" s="1">
        <f t="shared" si="0"/>
        <v>0</v>
      </c>
    </row>
    <row r="28" spans="1:5" s="1" customFormat="1" ht="29.25" customHeight="1">
      <c r="A28" s="82" t="s">
        <v>295</v>
      </c>
      <c r="B28" s="82"/>
      <c r="C28" s="82"/>
      <c r="D28" s="46" t="b">
        <v>0</v>
      </c>
      <c r="E28" s="1">
        <f t="shared" si="0"/>
        <v>0</v>
      </c>
    </row>
    <row r="29" spans="1:5" s="1" customFormat="1" ht="29.25" customHeight="1">
      <c r="A29" s="82" t="s">
        <v>296</v>
      </c>
      <c r="B29" s="82"/>
      <c r="C29" s="82"/>
      <c r="D29" s="46" t="b">
        <v>0</v>
      </c>
      <c r="E29" s="1">
        <f t="shared" si="0"/>
        <v>0</v>
      </c>
    </row>
    <row r="30" spans="1:5" s="1" customFormat="1" ht="29.25" customHeight="1">
      <c r="A30" s="82" t="s">
        <v>336</v>
      </c>
      <c r="B30" s="82"/>
      <c r="C30" s="82"/>
      <c r="D30" s="46" t="b">
        <v>0</v>
      </c>
      <c r="E30" s="1">
        <f t="shared" si="0"/>
        <v>0</v>
      </c>
    </row>
    <row r="31" spans="1:5" s="1" customFormat="1" ht="29.25" customHeight="1">
      <c r="A31" s="82" t="s">
        <v>337</v>
      </c>
      <c r="B31" s="82"/>
      <c r="C31" s="82"/>
      <c r="D31" s="46" t="b">
        <v>0</v>
      </c>
      <c r="E31" s="1">
        <f t="shared" si="0"/>
        <v>0</v>
      </c>
    </row>
    <row r="32" spans="1:5" s="1" customFormat="1" ht="29.25" customHeight="1">
      <c r="A32" s="82" t="s">
        <v>338</v>
      </c>
      <c r="B32" s="82"/>
      <c r="C32" s="82"/>
      <c r="D32" s="46" t="b">
        <v>0</v>
      </c>
      <c r="E32" s="1">
        <f t="shared" si="0"/>
        <v>0</v>
      </c>
    </row>
    <row r="33" spans="1:5" s="1" customFormat="1" ht="29.25" customHeight="1">
      <c r="A33" s="82" t="s">
        <v>339</v>
      </c>
      <c r="B33" s="82"/>
      <c r="C33" s="82"/>
      <c r="D33" s="46" t="b">
        <v>0</v>
      </c>
      <c r="E33" s="1">
        <f t="shared" si="0"/>
        <v>0</v>
      </c>
    </row>
    <row r="34" spans="1:5" s="1" customFormat="1" ht="29.25" customHeight="1">
      <c r="A34" s="82" t="s">
        <v>340</v>
      </c>
      <c r="B34" s="82"/>
      <c r="C34" s="82"/>
      <c r="D34" s="46" t="b">
        <v>0</v>
      </c>
      <c r="E34" s="1">
        <f t="shared" si="0"/>
        <v>0</v>
      </c>
    </row>
    <row r="35" spans="1:5" s="1" customFormat="1" ht="29.25" customHeight="1">
      <c r="A35" s="82" t="s">
        <v>341</v>
      </c>
      <c r="B35" s="82"/>
      <c r="C35" s="82"/>
      <c r="D35" s="46" t="b">
        <v>0</v>
      </c>
      <c r="E35" s="1">
        <f t="shared" si="0"/>
        <v>0</v>
      </c>
    </row>
    <row r="36" spans="1:5" s="1" customFormat="1" ht="29.25" customHeight="1">
      <c r="A36" s="82" t="s">
        <v>305</v>
      </c>
      <c r="B36" s="82"/>
      <c r="C36" s="82"/>
      <c r="D36" s="46" t="b">
        <v>0</v>
      </c>
      <c r="E36" s="1">
        <f t="shared" si="0"/>
        <v>0</v>
      </c>
    </row>
    <row r="37" spans="1:5" s="1" customFormat="1" ht="29.25" customHeight="1">
      <c r="A37" s="82" t="s">
        <v>306</v>
      </c>
      <c r="B37" s="82"/>
      <c r="C37" s="82"/>
      <c r="D37" s="46" t="b">
        <v>0</v>
      </c>
      <c r="E37" s="1">
        <f t="shared" si="0"/>
        <v>0</v>
      </c>
    </row>
    <row r="38" spans="1:5" s="1" customFormat="1" ht="29.25" customHeight="1">
      <c r="A38" s="82" t="s">
        <v>342</v>
      </c>
      <c r="B38" s="82"/>
      <c r="C38" s="82"/>
      <c r="D38" s="46" t="b">
        <v>0</v>
      </c>
      <c r="E38" s="1">
        <f t="shared" si="0"/>
        <v>0</v>
      </c>
    </row>
    <row r="39" spans="1:5" s="1" customFormat="1" ht="29.25" customHeight="1">
      <c r="A39" s="82" t="s">
        <v>343</v>
      </c>
      <c r="B39" s="82"/>
      <c r="C39" s="82"/>
      <c r="D39" s="46" t="b">
        <v>0</v>
      </c>
      <c r="E39" s="1">
        <f t="shared" si="0"/>
        <v>0</v>
      </c>
    </row>
    <row r="40" spans="1:5" s="1" customFormat="1" ht="29.25" customHeight="1">
      <c r="A40" s="82" t="s">
        <v>344</v>
      </c>
      <c r="B40" s="82"/>
      <c r="C40" s="82"/>
      <c r="D40" s="46" t="b">
        <v>0</v>
      </c>
      <c r="E40" s="1">
        <f t="shared" si="0"/>
        <v>0</v>
      </c>
    </row>
    <row r="41" spans="1:5" s="1" customFormat="1" ht="29.25" customHeight="1">
      <c r="A41" s="82" t="s">
        <v>345</v>
      </c>
      <c r="B41" s="82"/>
      <c r="C41" s="82"/>
      <c r="D41" s="46" t="b">
        <v>0</v>
      </c>
      <c r="E41" s="1">
        <f t="shared" si="0"/>
        <v>0</v>
      </c>
    </row>
    <row r="42" spans="1:5" s="1" customFormat="1" ht="29.25" customHeight="1">
      <c r="A42" s="82" t="s">
        <v>346</v>
      </c>
      <c r="B42" s="82"/>
      <c r="C42" s="82"/>
      <c r="D42" s="46" t="b">
        <v>0</v>
      </c>
      <c r="E42" s="1">
        <f t="shared" si="0"/>
        <v>0</v>
      </c>
    </row>
    <row r="43" spans="1:5" s="1" customFormat="1" ht="29.25" customHeight="1">
      <c r="A43" s="83" t="s">
        <v>347</v>
      </c>
      <c r="B43" s="83"/>
      <c r="C43" s="83"/>
      <c r="D43" s="46" t="b">
        <v>0</v>
      </c>
      <c r="E43" s="1">
        <f t="shared" si="0"/>
        <v>0</v>
      </c>
    </row>
    <row r="44" spans="1:5">
      <c r="E44" s="1">
        <f>SUM(E7:E43)</f>
        <v>0</v>
      </c>
    </row>
  </sheetData>
  <sheetProtection sheet="1" objects="1" scenarios="1" selectLockedCells="1"/>
  <mergeCells count="42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43:C43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</mergeCells>
  <conditionalFormatting sqref="A7">
    <cfRule type="duplicateValues" dxfId="45" priority="2"/>
  </conditionalFormatting>
  <conditionalFormatting sqref="A8:A43">
    <cfRule type="duplicateValues" dxfId="44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 codeName="Лист26"/>
  <dimension ref="A1:E44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29.25" customHeight="1">
      <c r="A7" s="82" t="s">
        <v>317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318</v>
      </c>
      <c r="B8" s="82"/>
      <c r="C8" s="82"/>
      <c r="D8" s="46" t="b">
        <v>0</v>
      </c>
      <c r="E8" s="1">
        <f t="shared" ref="E8:E43" si="0">IF(LEN(D8)&gt;4,1,0)</f>
        <v>0</v>
      </c>
    </row>
    <row r="9" spans="1:5" s="1" customFormat="1" ht="29.25" customHeight="1">
      <c r="A9" s="82" t="s">
        <v>319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2" t="s">
        <v>320</v>
      </c>
      <c r="B10" s="82"/>
      <c r="C10" s="82"/>
      <c r="D10" s="46" t="b">
        <v>0</v>
      </c>
      <c r="E10" s="1">
        <f t="shared" si="0"/>
        <v>0</v>
      </c>
    </row>
    <row r="11" spans="1:5" s="1" customFormat="1" ht="29.25" customHeight="1">
      <c r="A11" s="82" t="s">
        <v>275</v>
      </c>
      <c r="B11" s="82"/>
      <c r="C11" s="82"/>
      <c r="D11" s="46" t="b">
        <v>0</v>
      </c>
      <c r="E11" s="1">
        <f t="shared" si="0"/>
        <v>0</v>
      </c>
    </row>
    <row r="12" spans="1:5" s="1" customFormat="1" ht="29.25" customHeight="1">
      <c r="A12" s="82" t="s">
        <v>321</v>
      </c>
      <c r="B12" s="82"/>
      <c r="C12" s="82"/>
      <c r="D12" s="46" t="b">
        <v>0</v>
      </c>
      <c r="E12" s="1">
        <f t="shared" si="0"/>
        <v>0</v>
      </c>
    </row>
    <row r="13" spans="1:5" s="1" customFormat="1" ht="29.25" customHeight="1">
      <c r="A13" s="82" t="s">
        <v>322</v>
      </c>
      <c r="B13" s="82"/>
      <c r="C13" s="82"/>
      <c r="D13" s="46" t="b">
        <v>0</v>
      </c>
      <c r="E13" s="1">
        <f t="shared" si="0"/>
        <v>0</v>
      </c>
    </row>
    <row r="14" spans="1:5" s="1" customFormat="1" ht="29.25" customHeight="1">
      <c r="A14" s="82" t="s">
        <v>323</v>
      </c>
      <c r="B14" s="82"/>
      <c r="C14" s="82"/>
      <c r="D14" s="46" t="b">
        <v>0</v>
      </c>
      <c r="E14" s="1">
        <f t="shared" si="0"/>
        <v>0</v>
      </c>
    </row>
    <row r="15" spans="1:5" s="1" customFormat="1" ht="29.25" customHeight="1">
      <c r="A15" s="82" t="s">
        <v>324</v>
      </c>
      <c r="B15" s="82"/>
      <c r="C15" s="82"/>
      <c r="D15" s="46" t="b">
        <v>0</v>
      </c>
      <c r="E15" s="1">
        <f t="shared" si="0"/>
        <v>0</v>
      </c>
    </row>
    <row r="16" spans="1:5" s="1" customFormat="1" ht="29.25" customHeight="1">
      <c r="A16" s="82" t="s">
        <v>325</v>
      </c>
      <c r="B16" s="82"/>
      <c r="C16" s="82"/>
      <c r="D16" s="46" t="b">
        <v>0</v>
      </c>
      <c r="E16" s="1">
        <f t="shared" si="0"/>
        <v>0</v>
      </c>
    </row>
    <row r="17" spans="1:5" s="1" customFormat="1" ht="29.25" customHeight="1">
      <c r="A17" s="82" t="s">
        <v>326</v>
      </c>
      <c r="B17" s="82"/>
      <c r="C17" s="82"/>
      <c r="D17" s="46" t="b">
        <v>0</v>
      </c>
      <c r="E17" s="1">
        <f t="shared" si="0"/>
        <v>0</v>
      </c>
    </row>
    <row r="18" spans="1:5" s="1" customFormat="1" ht="29.25" customHeight="1">
      <c r="A18" s="82" t="s">
        <v>327</v>
      </c>
      <c r="B18" s="82"/>
      <c r="C18" s="82"/>
      <c r="D18" s="46" t="b">
        <v>0</v>
      </c>
      <c r="E18" s="1">
        <f t="shared" si="0"/>
        <v>0</v>
      </c>
    </row>
    <row r="19" spans="1:5" s="1" customFormat="1" ht="45" customHeight="1">
      <c r="A19" s="82" t="s">
        <v>328</v>
      </c>
      <c r="B19" s="82"/>
      <c r="C19" s="82"/>
      <c r="D19" s="46" t="b">
        <v>0</v>
      </c>
      <c r="E19" s="1">
        <f t="shared" si="0"/>
        <v>0</v>
      </c>
    </row>
    <row r="20" spans="1:5" s="1" customFormat="1" ht="47.25" customHeight="1">
      <c r="A20" s="82" t="s">
        <v>329</v>
      </c>
      <c r="B20" s="82"/>
      <c r="C20" s="82"/>
      <c r="D20" s="46" t="b">
        <v>0</v>
      </c>
      <c r="E20" s="1">
        <f t="shared" si="0"/>
        <v>0</v>
      </c>
    </row>
    <row r="21" spans="1:5" s="1" customFormat="1" ht="29.25" customHeight="1">
      <c r="A21" s="82" t="s">
        <v>330</v>
      </c>
      <c r="B21" s="82"/>
      <c r="C21" s="82"/>
      <c r="D21" s="46" t="b">
        <v>0</v>
      </c>
      <c r="E21" s="1">
        <f t="shared" si="0"/>
        <v>0</v>
      </c>
    </row>
    <row r="22" spans="1:5" s="1" customFormat="1" ht="29.25" customHeight="1">
      <c r="A22" s="82" t="s">
        <v>331</v>
      </c>
      <c r="B22" s="82"/>
      <c r="C22" s="82"/>
      <c r="D22" s="46" t="b">
        <v>0</v>
      </c>
      <c r="E22" s="1">
        <f t="shared" si="0"/>
        <v>0</v>
      </c>
    </row>
    <row r="23" spans="1:5" s="1" customFormat="1" ht="29.25" customHeight="1">
      <c r="A23" s="82" t="s">
        <v>332</v>
      </c>
      <c r="B23" s="82"/>
      <c r="C23" s="82"/>
      <c r="D23" s="46" t="b">
        <v>0</v>
      </c>
      <c r="E23" s="1">
        <f t="shared" si="0"/>
        <v>0</v>
      </c>
    </row>
    <row r="24" spans="1:5" s="1" customFormat="1" ht="29.25" customHeight="1">
      <c r="A24" s="82" t="s">
        <v>333</v>
      </c>
      <c r="B24" s="82"/>
      <c r="C24" s="82"/>
      <c r="D24" s="46" t="b">
        <v>0</v>
      </c>
      <c r="E24" s="1">
        <f t="shared" si="0"/>
        <v>0</v>
      </c>
    </row>
    <row r="25" spans="1:5" s="1" customFormat="1" ht="29.25" customHeight="1">
      <c r="A25" s="82" t="s">
        <v>334</v>
      </c>
      <c r="B25" s="82"/>
      <c r="C25" s="82"/>
      <c r="D25" s="46" t="b">
        <v>0</v>
      </c>
      <c r="E25" s="1">
        <f t="shared" si="0"/>
        <v>0</v>
      </c>
    </row>
    <row r="26" spans="1:5" s="1" customFormat="1" ht="29.25" customHeight="1">
      <c r="A26" s="82" t="s">
        <v>335</v>
      </c>
      <c r="B26" s="82"/>
      <c r="C26" s="82"/>
      <c r="D26" s="46" t="b">
        <v>0</v>
      </c>
      <c r="E26" s="1">
        <f t="shared" si="0"/>
        <v>0</v>
      </c>
    </row>
    <row r="27" spans="1:5" s="1" customFormat="1" ht="29.25" customHeight="1">
      <c r="A27" s="82" t="s">
        <v>294</v>
      </c>
      <c r="B27" s="82"/>
      <c r="C27" s="82"/>
      <c r="D27" s="46" t="b">
        <v>0</v>
      </c>
      <c r="E27" s="1">
        <f t="shared" si="0"/>
        <v>0</v>
      </c>
    </row>
    <row r="28" spans="1:5" s="1" customFormat="1" ht="29.25" customHeight="1">
      <c r="A28" s="82" t="s">
        <v>295</v>
      </c>
      <c r="B28" s="82"/>
      <c r="C28" s="82"/>
      <c r="D28" s="46" t="b">
        <v>0</v>
      </c>
      <c r="E28" s="1">
        <f t="shared" si="0"/>
        <v>0</v>
      </c>
    </row>
    <row r="29" spans="1:5" s="1" customFormat="1" ht="29.25" customHeight="1">
      <c r="A29" s="82" t="s">
        <v>296</v>
      </c>
      <c r="B29" s="82"/>
      <c r="C29" s="82"/>
      <c r="D29" s="46" t="b">
        <v>0</v>
      </c>
      <c r="E29" s="1">
        <f t="shared" si="0"/>
        <v>0</v>
      </c>
    </row>
    <row r="30" spans="1:5" s="1" customFormat="1" ht="29.25" customHeight="1">
      <c r="A30" s="82" t="s">
        <v>336</v>
      </c>
      <c r="B30" s="82"/>
      <c r="C30" s="82"/>
      <c r="D30" s="46" t="b">
        <v>0</v>
      </c>
      <c r="E30" s="1">
        <f t="shared" si="0"/>
        <v>0</v>
      </c>
    </row>
    <row r="31" spans="1:5" s="1" customFormat="1" ht="29.25" customHeight="1">
      <c r="A31" s="82" t="s">
        <v>337</v>
      </c>
      <c r="B31" s="82"/>
      <c r="C31" s="82"/>
      <c r="D31" s="46" t="b">
        <v>0</v>
      </c>
      <c r="E31" s="1">
        <f t="shared" si="0"/>
        <v>0</v>
      </c>
    </row>
    <row r="32" spans="1:5" s="1" customFormat="1" ht="29.25" customHeight="1">
      <c r="A32" s="82" t="s">
        <v>338</v>
      </c>
      <c r="B32" s="82"/>
      <c r="C32" s="82"/>
      <c r="D32" s="46" t="b">
        <v>0</v>
      </c>
      <c r="E32" s="1">
        <f t="shared" si="0"/>
        <v>0</v>
      </c>
    </row>
    <row r="33" spans="1:5" s="1" customFormat="1" ht="29.25" customHeight="1">
      <c r="A33" s="82" t="s">
        <v>339</v>
      </c>
      <c r="B33" s="82"/>
      <c r="C33" s="82"/>
      <c r="D33" s="46" t="b">
        <v>0</v>
      </c>
      <c r="E33" s="1">
        <f t="shared" si="0"/>
        <v>0</v>
      </c>
    </row>
    <row r="34" spans="1:5" s="1" customFormat="1" ht="29.25" customHeight="1">
      <c r="A34" s="82" t="s">
        <v>340</v>
      </c>
      <c r="B34" s="82"/>
      <c r="C34" s="82"/>
      <c r="D34" s="46" t="b">
        <v>0</v>
      </c>
      <c r="E34" s="1">
        <f t="shared" si="0"/>
        <v>0</v>
      </c>
    </row>
    <row r="35" spans="1:5" s="1" customFormat="1" ht="29.25" customHeight="1">
      <c r="A35" s="82" t="s">
        <v>341</v>
      </c>
      <c r="B35" s="82"/>
      <c r="C35" s="82"/>
      <c r="D35" s="46" t="b">
        <v>0</v>
      </c>
      <c r="E35" s="1">
        <f t="shared" si="0"/>
        <v>0</v>
      </c>
    </row>
    <row r="36" spans="1:5" s="1" customFormat="1" ht="29.25" customHeight="1">
      <c r="A36" s="82" t="s">
        <v>305</v>
      </c>
      <c r="B36" s="82"/>
      <c r="C36" s="82"/>
      <c r="D36" s="46" t="b">
        <v>0</v>
      </c>
      <c r="E36" s="1">
        <f t="shared" si="0"/>
        <v>0</v>
      </c>
    </row>
    <row r="37" spans="1:5" s="1" customFormat="1" ht="29.25" customHeight="1">
      <c r="A37" s="82" t="s">
        <v>306</v>
      </c>
      <c r="B37" s="82"/>
      <c r="C37" s="82"/>
      <c r="D37" s="46" t="b">
        <v>0</v>
      </c>
      <c r="E37" s="1">
        <f t="shared" si="0"/>
        <v>0</v>
      </c>
    </row>
    <row r="38" spans="1:5" s="1" customFormat="1" ht="29.25" customHeight="1">
      <c r="A38" s="82" t="s">
        <v>342</v>
      </c>
      <c r="B38" s="82"/>
      <c r="C38" s="82"/>
      <c r="D38" s="46" t="b">
        <v>0</v>
      </c>
      <c r="E38" s="1">
        <f t="shared" si="0"/>
        <v>0</v>
      </c>
    </row>
    <row r="39" spans="1:5" s="1" customFormat="1" ht="29.25" customHeight="1">
      <c r="A39" s="82" t="s">
        <v>343</v>
      </c>
      <c r="B39" s="82"/>
      <c r="C39" s="82"/>
      <c r="D39" s="46" t="b">
        <v>0</v>
      </c>
      <c r="E39" s="1">
        <f t="shared" si="0"/>
        <v>0</v>
      </c>
    </row>
    <row r="40" spans="1:5" s="1" customFormat="1" ht="29.25" customHeight="1">
      <c r="A40" s="82" t="s">
        <v>344</v>
      </c>
      <c r="B40" s="82"/>
      <c r="C40" s="82"/>
      <c r="D40" s="46" t="b">
        <v>0</v>
      </c>
      <c r="E40" s="1">
        <f t="shared" si="0"/>
        <v>0</v>
      </c>
    </row>
    <row r="41" spans="1:5" s="1" customFormat="1" ht="29.25" customHeight="1">
      <c r="A41" s="82" t="s">
        <v>345</v>
      </c>
      <c r="B41" s="82"/>
      <c r="C41" s="82"/>
      <c r="D41" s="46" t="b">
        <v>0</v>
      </c>
      <c r="E41" s="1">
        <f t="shared" si="0"/>
        <v>0</v>
      </c>
    </row>
    <row r="42" spans="1:5" s="1" customFormat="1" ht="29.25" customHeight="1">
      <c r="A42" s="82" t="s">
        <v>346</v>
      </c>
      <c r="B42" s="82"/>
      <c r="C42" s="82"/>
      <c r="D42" s="46" t="b">
        <v>0</v>
      </c>
      <c r="E42" s="1">
        <f t="shared" si="0"/>
        <v>0</v>
      </c>
    </row>
    <row r="43" spans="1:5" s="1" customFormat="1" ht="29.25" customHeight="1">
      <c r="A43" s="83" t="s">
        <v>347</v>
      </c>
      <c r="B43" s="83"/>
      <c r="C43" s="83"/>
      <c r="D43" s="46" t="b">
        <v>0</v>
      </c>
      <c r="E43" s="1">
        <f t="shared" si="0"/>
        <v>0</v>
      </c>
    </row>
    <row r="44" spans="1:5">
      <c r="E44" s="1">
        <f>SUM(E7:E43)</f>
        <v>0</v>
      </c>
    </row>
  </sheetData>
  <sheetProtection sheet="1" objects="1" scenarios="1" selectLockedCells="1"/>
  <mergeCells count="42">
    <mergeCell ref="A7:C7"/>
    <mergeCell ref="A1:B1"/>
    <mergeCell ref="A2:D2"/>
    <mergeCell ref="A3:B3"/>
    <mergeCell ref="A4:B4"/>
    <mergeCell ref="A6:D6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43:C43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</mergeCells>
  <conditionalFormatting sqref="A7">
    <cfRule type="duplicateValues" dxfId="43" priority="2"/>
  </conditionalFormatting>
  <conditionalFormatting sqref="A8:A43">
    <cfRule type="duplicateValues" dxfId="42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 codeName="Лист27"/>
  <dimension ref="A1:E33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45" customHeight="1">
      <c r="A7" s="82" t="s">
        <v>348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349</v>
      </c>
      <c r="B8" s="82"/>
      <c r="C8" s="82"/>
      <c r="D8" s="46" t="b">
        <v>0</v>
      </c>
      <c r="E8" s="1">
        <f t="shared" ref="E8:E32" si="0">IF(LEN(D8)&gt;4,1,0)</f>
        <v>0</v>
      </c>
    </row>
    <row r="9" spans="1:5" s="1" customFormat="1" ht="29.25" customHeight="1">
      <c r="A9" s="82" t="s">
        <v>350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2" t="s">
        <v>275</v>
      </c>
      <c r="B10" s="82"/>
      <c r="C10" s="82"/>
      <c r="D10" s="46" t="b">
        <v>0</v>
      </c>
      <c r="E10" s="1">
        <f t="shared" si="0"/>
        <v>0</v>
      </c>
    </row>
    <row r="11" spans="1:5" s="1" customFormat="1" ht="29.25" customHeight="1">
      <c r="A11" s="82" t="s">
        <v>351</v>
      </c>
      <c r="B11" s="82"/>
      <c r="C11" s="82"/>
      <c r="D11" s="46" t="b">
        <v>0</v>
      </c>
      <c r="E11" s="1">
        <f t="shared" si="0"/>
        <v>0</v>
      </c>
    </row>
    <row r="12" spans="1:5" s="1" customFormat="1" ht="29.25" customHeight="1">
      <c r="A12" s="82" t="s">
        <v>352</v>
      </c>
      <c r="B12" s="82"/>
      <c r="C12" s="82"/>
      <c r="D12" s="46" t="b">
        <v>0</v>
      </c>
      <c r="E12" s="1">
        <f t="shared" si="0"/>
        <v>0</v>
      </c>
    </row>
    <row r="13" spans="1:5" s="1" customFormat="1" ht="29.25" customHeight="1">
      <c r="A13" s="82" t="s">
        <v>353</v>
      </c>
      <c r="B13" s="82"/>
      <c r="C13" s="82"/>
      <c r="D13" s="46" t="b">
        <v>0</v>
      </c>
      <c r="E13" s="1">
        <f t="shared" si="0"/>
        <v>0</v>
      </c>
    </row>
    <row r="14" spans="1:5" s="1" customFormat="1" ht="29.25" customHeight="1">
      <c r="A14" s="82" t="s">
        <v>354</v>
      </c>
      <c r="B14" s="82"/>
      <c r="C14" s="82"/>
      <c r="D14" s="46" t="b">
        <v>0</v>
      </c>
      <c r="E14" s="1">
        <f t="shared" si="0"/>
        <v>0</v>
      </c>
    </row>
    <row r="15" spans="1:5" s="1" customFormat="1" ht="30" customHeight="1">
      <c r="A15" s="82" t="s">
        <v>355</v>
      </c>
      <c r="B15" s="82"/>
      <c r="C15" s="82"/>
      <c r="D15" s="46" t="b">
        <v>1</v>
      </c>
      <c r="E15" s="1">
        <f t="shared" si="0"/>
        <v>1</v>
      </c>
    </row>
    <row r="16" spans="1:5" s="1" customFormat="1" ht="29.25" customHeight="1">
      <c r="A16" s="82" t="s">
        <v>356</v>
      </c>
      <c r="B16" s="82"/>
      <c r="C16" s="82"/>
      <c r="D16" s="46" t="b">
        <v>1</v>
      </c>
      <c r="E16" s="1">
        <f t="shared" si="0"/>
        <v>1</v>
      </c>
    </row>
    <row r="17" spans="1:5" s="1" customFormat="1" ht="29.25" customHeight="1">
      <c r="A17" s="82" t="s">
        <v>357</v>
      </c>
      <c r="B17" s="82"/>
      <c r="C17" s="82"/>
      <c r="D17" s="46" t="b">
        <v>1</v>
      </c>
      <c r="E17" s="1">
        <f t="shared" si="0"/>
        <v>1</v>
      </c>
    </row>
    <row r="18" spans="1:5" s="1" customFormat="1" ht="29.25" customHeight="1">
      <c r="A18" s="82" t="s">
        <v>358</v>
      </c>
      <c r="B18" s="82"/>
      <c r="C18" s="82"/>
      <c r="D18" s="46" t="b">
        <v>0</v>
      </c>
      <c r="E18" s="1">
        <f t="shared" si="0"/>
        <v>0</v>
      </c>
    </row>
    <row r="19" spans="1:5" s="1" customFormat="1" ht="24" customHeight="1">
      <c r="A19" s="82" t="s">
        <v>294</v>
      </c>
      <c r="B19" s="82"/>
      <c r="C19" s="82"/>
      <c r="D19" s="46" t="b">
        <v>0</v>
      </c>
      <c r="E19" s="1">
        <f t="shared" si="0"/>
        <v>0</v>
      </c>
    </row>
    <row r="20" spans="1:5" s="1" customFormat="1" ht="20.25" customHeight="1">
      <c r="A20" s="82" t="s">
        <v>359</v>
      </c>
      <c r="B20" s="82"/>
      <c r="C20" s="82"/>
      <c r="D20" s="46" t="b">
        <v>0</v>
      </c>
      <c r="E20" s="1">
        <f t="shared" si="0"/>
        <v>0</v>
      </c>
    </row>
    <row r="21" spans="1:5" s="1" customFormat="1" ht="20.25" customHeight="1">
      <c r="A21" s="82" t="s">
        <v>360</v>
      </c>
      <c r="B21" s="82"/>
      <c r="C21" s="82"/>
      <c r="D21" s="46" t="b">
        <v>0</v>
      </c>
      <c r="E21" s="1">
        <f t="shared" si="0"/>
        <v>0</v>
      </c>
    </row>
    <row r="22" spans="1:5" s="1" customFormat="1" ht="20.25" customHeight="1">
      <c r="A22" s="82" t="s">
        <v>305</v>
      </c>
      <c r="B22" s="82"/>
      <c r="C22" s="82"/>
      <c r="D22" s="46" t="b">
        <v>0</v>
      </c>
      <c r="E22" s="1">
        <f t="shared" si="0"/>
        <v>0</v>
      </c>
    </row>
    <row r="23" spans="1:5" s="1" customFormat="1" ht="20.25" customHeight="1">
      <c r="A23" s="82" t="s">
        <v>306</v>
      </c>
      <c r="B23" s="82"/>
      <c r="C23" s="82"/>
      <c r="D23" s="46" t="b">
        <v>1</v>
      </c>
      <c r="E23" s="1">
        <f t="shared" si="0"/>
        <v>1</v>
      </c>
    </row>
    <row r="24" spans="1:5" s="1" customFormat="1" ht="20.25" customHeight="1">
      <c r="A24" s="82" t="s">
        <v>361</v>
      </c>
      <c r="B24" s="82"/>
      <c r="C24" s="82"/>
      <c r="D24" s="46" t="b">
        <v>0</v>
      </c>
      <c r="E24" s="1">
        <f t="shared" si="0"/>
        <v>0</v>
      </c>
    </row>
    <row r="25" spans="1:5" s="1" customFormat="1" ht="20.25" customHeight="1">
      <c r="A25" s="82" t="s">
        <v>296</v>
      </c>
      <c r="B25" s="82"/>
      <c r="C25" s="82"/>
      <c r="D25" s="46" t="b">
        <v>0</v>
      </c>
      <c r="E25" s="1">
        <f t="shared" si="0"/>
        <v>0</v>
      </c>
    </row>
    <row r="26" spans="1:5" s="1" customFormat="1" ht="20.25" customHeight="1">
      <c r="A26" s="82" t="s">
        <v>362</v>
      </c>
      <c r="B26" s="82"/>
      <c r="C26" s="82"/>
      <c r="D26" s="46" t="b">
        <v>1</v>
      </c>
      <c r="E26" s="1">
        <f t="shared" si="0"/>
        <v>1</v>
      </c>
    </row>
    <row r="27" spans="1:5" s="1" customFormat="1" ht="20.25" customHeight="1">
      <c r="A27" s="82" t="s">
        <v>363</v>
      </c>
      <c r="B27" s="82"/>
      <c r="C27" s="82"/>
      <c r="D27" s="46" t="b">
        <v>0</v>
      </c>
      <c r="E27" s="1">
        <f t="shared" si="0"/>
        <v>0</v>
      </c>
    </row>
    <row r="28" spans="1:5" s="1" customFormat="1" ht="51.75" customHeight="1">
      <c r="A28" s="82" t="s">
        <v>364</v>
      </c>
      <c r="B28" s="82"/>
      <c r="C28" s="82"/>
      <c r="D28" s="46" t="b">
        <v>1</v>
      </c>
      <c r="E28" s="1">
        <f t="shared" si="0"/>
        <v>1</v>
      </c>
    </row>
    <row r="29" spans="1:5" s="1" customFormat="1" ht="29.25" customHeight="1">
      <c r="A29" s="82" t="s">
        <v>365</v>
      </c>
      <c r="B29" s="82"/>
      <c r="C29" s="82"/>
      <c r="D29" s="46" t="b">
        <v>0</v>
      </c>
      <c r="E29" s="1">
        <f t="shared" si="0"/>
        <v>0</v>
      </c>
    </row>
    <row r="30" spans="1:5" s="1" customFormat="1" ht="29.25" customHeight="1">
      <c r="A30" s="82" t="s">
        <v>366</v>
      </c>
      <c r="B30" s="82"/>
      <c r="C30" s="82"/>
      <c r="D30" s="46" t="b">
        <v>0</v>
      </c>
      <c r="E30" s="1">
        <f t="shared" si="0"/>
        <v>0</v>
      </c>
    </row>
    <row r="31" spans="1:5" s="1" customFormat="1" ht="29.25" customHeight="1">
      <c r="A31" s="82" t="s">
        <v>367</v>
      </c>
      <c r="B31" s="82"/>
      <c r="C31" s="82"/>
      <c r="D31" s="46" t="b">
        <v>0</v>
      </c>
      <c r="E31" s="1">
        <f t="shared" si="0"/>
        <v>0</v>
      </c>
    </row>
    <row r="32" spans="1:5" s="1" customFormat="1" ht="29.25" customHeight="1">
      <c r="A32" s="81" t="s">
        <v>368</v>
      </c>
      <c r="B32" s="81"/>
      <c r="C32" s="81"/>
      <c r="D32" s="46" t="b">
        <v>0</v>
      </c>
      <c r="E32" s="1">
        <f t="shared" si="0"/>
        <v>0</v>
      </c>
    </row>
    <row r="33" spans="5:5">
      <c r="E33" s="1">
        <f>SUM(E7:E32)</f>
        <v>6</v>
      </c>
    </row>
  </sheetData>
  <sheetProtection sheet="1" objects="1" scenarios="1" selectLockedCells="1"/>
  <mergeCells count="31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2:C32"/>
    <mergeCell ref="A26:C26"/>
    <mergeCell ref="A27:C27"/>
    <mergeCell ref="A28:C28"/>
    <mergeCell ref="A29:C29"/>
    <mergeCell ref="A30:C30"/>
    <mergeCell ref="A31:C31"/>
  </mergeCells>
  <conditionalFormatting sqref="A7">
    <cfRule type="duplicateValues" dxfId="41" priority="2"/>
  </conditionalFormatting>
  <conditionalFormatting sqref="A8:A32">
    <cfRule type="duplicateValues" dxfId="40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 codeName="Лист28"/>
  <dimension ref="A1:E33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45" customHeight="1">
      <c r="A7" s="82" t="s">
        <v>348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349</v>
      </c>
      <c r="B8" s="82"/>
      <c r="C8" s="82"/>
      <c r="D8" s="46" t="b">
        <v>0</v>
      </c>
      <c r="E8" s="1">
        <f t="shared" ref="E8:E32" si="0">IF(LEN(D8)&gt;4,1,0)</f>
        <v>0</v>
      </c>
    </row>
    <row r="9" spans="1:5" s="1" customFormat="1" ht="29.25" customHeight="1">
      <c r="A9" s="82" t="s">
        <v>350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2" t="s">
        <v>275</v>
      </c>
      <c r="B10" s="82"/>
      <c r="C10" s="82"/>
      <c r="D10" s="46" t="b">
        <v>0</v>
      </c>
      <c r="E10" s="1">
        <f t="shared" si="0"/>
        <v>0</v>
      </c>
    </row>
    <row r="11" spans="1:5" s="1" customFormat="1" ht="29.25" customHeight="1">
      <c r="A11" s="82" t="s">
        <v>351</v>
      </c>
      <c r="B11" s="82"/>
      <c r="C11" s="82"/>
      <c r="D11" s="46" t="b">
        <v>0</v>
      </c>
      <c r="E11" s="1">
        <f t="shared" si="0"/>
        <v>0</v>
      </c>
    </row>
    <row r="12" spans="1:5" s="1" customFormat="1" ht="29.25" customHeight="1">
      <c r="A12" s="82" t="s">
        <v>352</v>
      </c>
      <c r="B12" s="82"/>
      <c r="C12" s="82"/>
      <c r="D12" s="46" t="b">
        <v>0</v>
      </c>
      <c r="E12" s="1">
        <f t="shared" si="0"/>
        <v>0</v>
      </c>
    </row>
    <row r="13" spans="1:5" s="1" customFormat="1" ht="29.25" customHeight="1">
      <c r="A13" s="82" t="s">
        <v>353</v>
      </c>
      <c r="B13" s="82"/>
      <c r="C13" s="82"/>
      <c r="D13" s="46" t="b">
        <v>0</v>
      </c>
      <c r="E13" s="1">
        <f t="shared" si="0"/>
        <v>0</v>
      </c>
    </row>
    <row r="14" spans="1:5" s="1" customFormat="1" ht="29.25" customHeight="1">
      <c r="A14" s="82" t="s">
        <v>354</v>
      </c>
      <c r="B14" s="82"/>
      <c r="C14" s="82"/>
      <c r="D14" s="46" t="b">
        <v>0</v>
      </c>
      <c r="E14" s="1">
        <f t="shared" si="0"/>
        <v>0</v>
      </c>
    </row>
    <row r="15" spans="1:5" s="1" customFormat="1" ht="30" customHeight="1">
      <c r="A15" s="82" t="s">
        <v>355</v>
      </c>
      <c r="B15" s="82"/>
      <c r="C15" s="82"/>
      <c r="D15" s="46" t="b">
        <v>1</v>
      </c>
      <c r="E15" s="1">
        <f t="shared" si="0"/>
        <v>1</v>
      </c>
    </row>
    <row r="16" spans="1:5" s="1" customFormat="1" ht="29.25" customHeight="1">
      <c r="A16" s="82" t="s">
        <v>356</v>
      </c>
      <c r="B16" s="82"/>
      <c r="C16" s="82"/>
      <c r="D16" s="46" t="b">
        <v>1</v>
      </c>
      <c r="E16" s="1">
        <f t="shared" si="0"/>
        <v>1</v>
      </c>
    </row>
    <row r="17" spans="1:5" s="1" customFormat="1" ht="29.25" customHeight="1">
      <c r="A17" s="82" t="s">
        <v>357</v>
      </c>
      <c r="B17" s="82"/>
      <c r="C17" s="82"/>
      <c r="D17" s="46" t="b">
        <v>1</v>
      </c>
      <c r="E17" s="1">
        <f t="shared" si="0"/>
        <v>1</v>
      </c>
    </row>
    <row r="18" spans="1:5" s="1" customFormat="1" ht="29.25" customHeight="1">
      <c r="A18" s="82" t="s">
        <v>358</v>
      </c>
      <c r="B18" s="82"/>
      <c r="C18" s="82"/>
      <c r="D18" s="46" t="b">
        <v>0</v>
      </c>
      <c r="E18" s="1">
        <f t="shared" si="0"/>
        <v>0</v>
      </c>
    </row>
    <row r="19" spans="1:5" s="1" customFormat="1" ht="24" customHeight="1">
      <c r="A19" s="82" t="s">
        <v>294</v>
      </c>
      <c r="B19" s="82"/>
      <c r="C19" s="82"/>
      <c r="D19" s="46" t="b">
        <v>0</v>
      </c>
      <c r="E19" s="1">
        <f t="shared" si="0"/>
        <v>0</v>
      </c>
    </row>
    <row r="20" spans="1:5" s="1" customFormat="1" ht="20.25" customHeight="1">
      <c r="A20" s="82" t="s">
        <v>359</v>
      </c>
      <c r="B20" s="82"/>
      <c r="C20" s="82"/>
      <c r="D20" s="46" t="b">
        <v>0</v>
      </c>
      <c r="E20" s="1">
        <f t="shared" si="0"/>
        <v>0</v>
      </c>
    </row>
    <row r="21" spans="1:5" s="1" customFormat="1" ht="20.25" customHeight="1">
      <c r="A21" s="82" t="s">
        <v>360</v>
      </c>
      <c r="B21" s="82"/>
      <c r="C21" s="82"/>
      <c r="D21" s="46" t="b">
        <v>0</v>
      </c>
      <c r="E21" s="1">
        <f t="shared" si="0"/>
        <v>0</v>
      </c>
    </row>
    <row r="22" spans="1:5" s="1" customFormat="1" ht="20.25" customHeight="1">
      <c r="A22" s="82" t="s">
        <v>305</v>
      </c>
      <c r="B22" s="82"/>
      <c r="C22" s="82"/>
      <c r="D22" s="46" t="b">
        <v>0</v>
      </c>
      <c r="E22" s="1">
        <f t="shared" si="0"/>
        <v>0</v>
      </c>
    </row>
    <row r="23" spans="1:5" s="1" customFormat="1" ht="20.25" customHeight="1">
      <c r="A23" s="82" t="s">
        <v>306</v>
      </c>
      <c r="B23" s="82"/>
      <c r="C23" s="82"/>
      <c r="D23" s="46" t="b">
        <v>1</v>
      </c>
      <c r="E23" s="1">
        <f t="shared" si="0"/>
        <v>1</v>
      </c>
    </row>
    <row r="24" spans="1:5" s="1" customFormat="1" ht="20.25" customHeight="1">
      <c r="A24" s="82" t="s">
        <v>361</v>
      </c>
      <c r="B24" s="82"/>
      <c r="C24" s="82"/>
      <c r="D24" s="46" t="b">
        <v>0</v>
      </c>
      <c r="E24" s="1">
        <f t="shared" si="0"/>
        <v>0</v>
      </c>
    </row>
    <row r="25" spans="1:5" s="1" customFormat="1" ht="20.25" customHeight="1">
      <c r="A25" s="82" t="s">
        <v>296</v>
      </c>
      <c r="B25" s="82"/>
      <c r="C25" s="82"/>
      <c r="D25" s="46" t="b">
        <v>0</v>
      </c>
      <c r="E25" s="1">
        <f t="shared" si="0"/>
        <v>0</v>
      </c>
    </row>
    <row r="26" spans="1:5" s="1" customFormat="1" ht="20.25" customHeight="1">
      <c r="A26" s="82" t="s">
        <v>362</v>
      </c>
      <c r="B26" s="82"/>
      <c r="C26" s="82"/>
      <c r="D26" s="46" t="b">
        <v>1</v>
      </c>
      <c r="E26" s="1">
        <f t="shared" si="0"/>
        <v>1</v>
      </c>
    </row>
    <row r="27" spans="1:5" s="1" customFormat="1" ht="20.25" customHeight="1">
      <c r="A27" s="82" t="s">
        <v>363</v>
      </c>
      <c r="B27" s="82"/>
      <c r="C27" s="82"/>
      <c r="D27" s="46" t="b">
        <v>0</v>
      </c>
      <c r="E27" s="1">
        <f t="shared" si="0"/>
        <v>0</v>
      </c>
    </row>
    <row r="28" spans="1:5" s="1" customFormat="1" ht="51.75" customHeight="1">
      <c r="A28" s="82" t="s">
        <v>364</v>
      </c>
      <c r="B28" s="82"/>
      <c r="C28" s="82"/>
      <c r="D28" s="46" t="b">
        <v>1</v>
      </c>
      <c r="E28" s="1">
        <f t="shared" si="0"/>
        <v>1</v>
      </c>
    </row>
    <row r="29" spans="1:5" s="1" customFormat="1" ht="29.25" customHeight="1">
      <c r="A29" s="82" t="s">
        <v>365</v>
      </c>
      <c r="B29" s="82"/>
      <c r="C29" s="82"/>
      <c r="D29" s="46" t="b">
        <v>0</v>
      </c>
      <c r="E29" s="1">
        <f t="shared" si="0"/>
        <v>0</v>
      </c>
    </row>
    <row r="30" spans="1:5" s="1" customFormat="1" ht="29.25" customHeight="1">
      <c r="A30" s="82" t="s">
        <v>366</v>
      </c>
      <c r="B30" s="82"/>
      <c r="C30" s="82"/>
      <c r="D30" s="46" t="b">
        <v>0</v>
      </c>
      <c r="E30" s="1">
        <f t="shared" si="0"/>
        <v>0</v>
      </c>
    </row>
    <row r="31" spans="1:5" s="1" customFormat="1" ht="29.25" customHeight="1">
      <c r="A31" s="82" t="s">
        <v>367</v>
      </c>
      <c r="B31" s="82"/>
      <c r="C31" s="82"/>
      <c r="D31" s="46" t="b">
        <v>0</v>
      </c>
      <c r="E31" s="1">
        <f t="shared" si="0"/>
        <v>0</v>
      </c>
    </row>
    <row r="32" spans="1:5" s="1" customFormat="1" ht="29.25" customHeight="1">
      <c r="A32" s="81" t="s">
        <v>368</v>
      </c>
      <c r="B32" s="81"/>
      <c r="C32" s="81"/>
      <c r="D32" s="46" t="b">
        <v>0</v>
      </c>
      <c r="E32" s="1">
        <f t="shared" si="0"/>
        <v>0</v>
      </c>
    </row>
    <row r="33" spans="5:5">
      <c r="E33" s="1">
        <f>SUM(E7:E32)</f>
        <v>6</v>
      </c>
    </row>
  </sheetData>
  <sheetProtection sheet="1" objects="1" scenarios="1" selectLockedCells="1"/>
  <mergeCells count="31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2:C32"/>
    <mergeCell ref="A26:C26"/>
    <mergeCell ref="A27:C27"/>
    <mergeCell ref="A28:C28"/>
    <mergeCell ref="A29:C29"/>
    <mergeCell ref="A30:C30"/>
    <mergeCell ref="A31:C31"/>
  </mergeCells>
  <conditionalFormatting sqref="A7">
    <cfRule type="duplicateValues" dxfId="39" priority="2"/>
  </conditionalFormatting>
  <conditionalFormatting sqref="A8:A32">
    <cfRule type="duplicateValues" dxfId="38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 codeName="Лист29"/>
  <dimension ref="A1:E33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45" customHeight="1">
      <c r="A7" s="82" t="s">
        <v>348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349</v>
      </c>
      <c r="B8" s="82"/>
      <c r="C8" s="82"/>
      <c r="D8" s="46" t="b">
        <v>0</v>
      </c>
      <c r="E8" s="1">
        <f t="shared" ref="E8:E32" si="0">IF(LEN(D8)&gt;4,1,0)</f>
        <v>0</v>
      </c>
    </row>
    <row r="9" spans="1:5" s="1" customFormat="1" ht="29.25" customHeight="1">
      <c r="A9" s="82" t="s">
        <v>350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2" t="s">
        <v>275</v>
      </c>
      <c r="B10" s="82"/>
      <c r="C10" s="82"/>
      <c r="D10" s="46" t="b">
        <v>0</v>
      </c>
      <c r="E10" s="1">
        <f t="shared" si="0"/>
        <v>0</v>
      </c>
    </row>
    <row r="11" spans="1:5" s="1" customFormat="1" ht="29.25" customHeight="1">
      <c r="A11" s="82" t="s">
        <v>351</v>
      </c>
      <c r="B11" s="82"/>
      <c r="C11" s="82"/>
      <c r="D11" s="46" t="b">
        <v>0</v>
      </c>
      <c r="E11" s="1">
        <f t="shared" si="0"/>
        <v>0</v>
      </c>
    </row>
    <row r="12" spans="1:5" s="1" customFormat="1" ht="29.25" customHeight="1">
      <c r="A12" s="82" t="s">
        <v>352</v>
      </c>
      <c r="B12" s="82"/>
      <c r="C12" s="82"/>
      <c r="D12" s="46" t="b">
        <v>0</v>
      </c>
      <c r="E12" s="1">
        <f t="shared" si="0"/>
        <v>0</v>
      </c>
    </row>
    <row r="13" spans="1:5" s="1" customFormat="1" ht="29.25" customHeight="1">
      <c r="A13" s="82" t="s">
        <v>353</v>
      </c>
      <c r="B13" s="82"/>
      <c r="C13" s="82"/>
      <c r="D13" s="46" t="b">
        <v>0</v>
      </c>
      <c r="E13" s="1">
        <f t="shared" si="0"/>
        <v>0</v>
      </c>
    </row>
    <row r="14" spans="1:5" s="1" customFormat="1" ht="29.25" customHeight="1">
      <c r="A14" s="82" t="s">
        <v>354</v>
      </c>
      <c r="B14" s="82"/>
      <c r="C14" s="82"/>
      <c r="D14" s="46" t="b">
        <v>0</v>
      </c>
      <c r="E14" s="1">
        <f t="shared" si="0"/>
        <v>0</v>
      </c>
    </row>
    <row r="15" spans="1:5" s="1" customFormat="1" ht="30" customHeight="1">
      <c r="A15" s="82" t="s">
        <v>355</v>
      </c>
      <c r="B15" s="82"/>
      <c r="C15" s="82"/>
      <c r="D15" s="46" t="b">
        <v>0</v>
      </c>
      <c r="E15" s="1">
        <f t="shared" si="0"/>
        <v>0</v>
      </c>
    </row>
    <row r="16" spans="1:5" s="1" customFormat="1" ht="29.25" customHeight="1">
      <c r="A16" s="82" t="s">
        <v>356</v>
      </c>
      <c r="B16" s="82"/>
      <c r="C16" s="82"/>
      <c r="D16" s="46" t="b">
        <v>0</v>
      </c>
      <c r="E16" s="1">
        <f t="shared" si="0"/>
        <v>0</v>
      </c>
    </row>
    <row r="17" spans="1:5" s="1" customFormat="1" ht="29.25" customHeight="1">
      <c r="A17" s="82" t="s">
        <v>357</v>
      </c>
      <c r="B17" s="82"/>
      <c r="C17" s="82"/>
      <c r="D17" s="46" t="b">
        <v>0</v>
      </c>
      <c r="E17" s="1">
        <f t="shared" si="0"/>
        <v>0</v>
      </c>
    </row>
    <row r="18" spans="1:5" s="1" customFormat="1" ht="29.25" customHeight="1">
      <c r="A18" s="82" t="s">
        <v>358</v>
      </c>
      <c r="B18" s="82"/>
      <c r="C18" s="82"/>
      <c r="D18" s="46" t="b">
        <v>0</v>
      </c>
      <c r="E18" s="1">
        <f t="shared" si="0"/>
        <v>0</v>
      </c>
    </row>
    <row r="19" spans="1:5" s="1" customFormat="1" ht="24" customHeight="1">
      <c r="A19" s="82" t="s">
        <v>294</v>
      </c>
      <c r="B19" s="82"/>
      <c r="C19" s="82"/>
      <c r="D19" s="46" t="b">
        <v>0</v>
      </c>
      <c r="E19" s="1">
        <f t="shared" si="0"/>
        <v>0</v>
      </c>
    </row>
    <row r="20" spans="1:5" s="1" customFormat="1" ht="20.25" customHeight="1">
      <c r="A20" s="82" t="s">
        <v>359</v>
      </c>
      <c r="B20" s="82"/>
      <c r="C20" s="82"/>
      <c r="D20" s="46" t="b">
        <v>0</v>
      </c>
      <c r="E20" s="1">
        <f t="shared" si="0"/>
        <v>0</v>
      </c>
    </row>
    <row r="21" spans="1:5" s="1" customFormat="1" ht="20.25" customHeight="1">
      <c r="A21" s="82" t="s">
        <v>360</v>
      </c>
      <c r="B21" s="82"/>
      <c r="C21" s="82"/>
      <c r="D21" s="46" t="b">
        <v>0</v>
      </c>
      <c r="E21" s="1">
        <f t="shared" si="0"/>
        <v>0</v>
      </c>
    </row>
    <row r="22" spans="1:5" s="1" customFormat="1" ht="20.25" customHeight="1">
      <c r="A22" s="82" t="s">
        <v>305</v>
      </c>
      <c r="B22" s="82"/>
      <c r="C22" s="82"/>
      <c r="D22" s="46" t="b">
        <v>0</v>
      </c>
      <c r="E22" s="1">
        <f t="shared" si="0"/>
        <v>0</v>
      </c>
    </row>
    <row r="23" spans="1:5" s="1" customFormat="1" ht="20.25" customHeight="1">
      <c r="A23" s="82" t="s">
        <v>306</v>
      </c>
      <c r="B23" s="82"/>
      <c r="C23" s="82"/>
      <c r="D23" s="46" t="b">
        <v>0</v>
      </c>
      <c r="E23" s="1">
        <f t="shared" si="0"/>
        <v>0</v>
      </c>
    </row>
    <row r="24" spans="1:5" s="1" customFormat="1" ht="20.25" customHeight="1">
      <c r="A24" s="82" t="s">
        <v>361</v>
      </c>
      <c r="B24" s="82"/>
      <c r="C24" s="82"/>
      <c r="D24" s="46" t="b">
        <v>0</v>
      </c>
      <c r="E24" s="1">
        <f t="shared" si="0"/>
        <v>0</v>
      </c>
    </row>
    <row r="25" spans="1:5" s="1" customFormat="1" ht="20.25" customHeight="1">
      <c r="A25" s="82" t="s">
        <v>296</v>
      </c>
      <c r="B25" s="82"/>
      <c r="C25" s="82"/>
      <c r="D25" s="46" t="b">
        <v>0</v>
      </c>
      <c r="E25" s="1">
        <f t="shared" si="0"/>
        <v>0</v>
      </c>
    </row>
    <row r="26" spans="1:5" s="1" customFormat="1" ht="20.25" customHeight="1">
      <c r="A26" s="82" t="s">
        <v>362</v>
      </c>
      <c r="B26" s="82"/>
      <c r="C26" s="82"/>
      <c r="D26" s="46" t="b">
        <v>0</v>
      </c>
      <c r="E26" s="1">
        <f t="shared" si="0"/>
        <v>0</v>
      </c>
    </row>
    <row r="27" spans="1:5" s="1" customFormat="1" ht="20.25" customHeight="1">
      <c r="A27" s="82" t="s">
        <v>363</v>
      </c>
      <c r="B27" s="82"/>
      <c r="C27" s="82"/>
      <c r="D27" s="46" t="b">
        <v>0</v>
      </c>
      <c r="E27" s="1">
        <f t="shared" si="0"/>
        <v>0</v>
      </c>
    </row>
    <row r="28" spans="1:5" s="1" customFormat="1" ht="51.75" customHeight="1">
      <c r="A28" s="82" t="s">
        <v>364</v>
      </c>
      <c r="B28" s="82"/>
      <c r="C28" s="82"/>
      <c r="D28" s="46" t="b">
        <v>0</v>
      </c>
      <c r="E28" s="1">
        <f t="shared" si="0"/>
        <v>0</v>
      </c>
    </row>
    <row r="29" spans="1:5" s="1" customFormat="1" ht="29.25" customHeight="1">
      <c r="A29" s="82" t="s">
        <v>365</v>
      </c>
      <c r="B29" s="82"/>
      <c r="C29" s="82"/>
      <c r="D29" s="46" t="b">
        <v>0</v>
      </c>
      <c r="E29" s="1">
        <f t="shared" si="0"/>
        <v>0</v>
      </c>
    </row>
    <row r="30" spans="1:5" s="1" customFormat="1" ht="29.25" customHeight="1">
      <c r="A30" s="82" t="s">
        <v>366</v>
      </c>
      <c r="B30" s="82"/>
      <c r="C30" s="82"/>
      <c r="D30" s="46" t="b">
        <v>0</v>
      </c>
      <c r="E30" s="1">
        <f t="shared" si="0"/>
        <v>0</v>
      </c>
    </row>
    <row r="31" spans="1:5" s="1" customFormat="1" ht="29.25" customHeight="1">
      <c r="A31" s="82" t="s">
        <v>367</v>
      </c>
      <c r="B31" s="82"/>
      <c r="C31" s="82"/>
      <c r="D31" s="46" t="b">
        <v>0</v>
      </c>
      <c r="E31" s="1">
        <f t="shared" si="0"/>
        <v>0</v>
      </c>
    </row>
    <row r="32" spans="1:5" s="1" customFormat="1" ht="29.25" customHeight="1">
      <c r="A32" s="81" t="s">
        <v>368</v>
      </c>
      <c r="B32" s="81"/>
      <c r="C32" s="81"/>
      <c r="D32" s="46" t="b">
        <v>0</v>
      </c>
      <c r="E32" s="1">
        <f t="shared" si="0"/>
        <v>0</v>
      </c>
    </row>
    <row r="33" spans="5:5">
      <c r="E33" s="1">
        <f>SUM(E7:E32)</f>
        <v>0</v>
      </c>
    </row>
  </sheetData>
  <sheetProtection sheet="1" objects="1" scenarios="1" selectLockedCells="1"/>
  <mergeCells count="31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2:C32"/>
    <mergeCell ref="A26:C26"/>
    <mergeCell ref="A27:C27"/>
    <mergeCell ref="A28:C28"/>
    <mergeCell ref="A29:C29"/>
    <mergeCell ref="A30:C30"/>
    <mergeCell ref="A31:C31"/>
  </mergeCells>
  <conditionalFormatting sqref="A7">
    <cfRule type="duplicateValues" dxfId="37" priority="2"/>
  </conditionalFormatting>
  <conditionalFormatting sqref="A8:A32">
    <cfRule type="duplicateValues" dxfId="36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 codeName="Лист30"/>
  <dimension ref="A1:E15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45" customHeight="1">
      <c r="A7" s="85" t="s">
        <v>369</v>
      </c>
      <c r="B7" s="85"/>
      <c r="C7" s="85"/>
      <c r="D7" s="46" t="b">
        <v>0</v>
      </c>
      <c r="E7" s="1">
        <f>IF(LEN(D7)&gt;4,1,0)</f>
        <v>0</v>
      </c>
    </row>
    <row r="8" spans="1:5" s="1" customFormat="1" ht="29.25" customHeight="1">
      <c r="A8" s="85" t="s">
        <v>352</v>
      </c>
      <c r="B8" s="85"/>
      <c r="C8" s="85"/>
      <c r="D8" s="46" t="b">
        <v>0</v>
      </c>
      <c r="E8" s="1">
        <f t="shared" ref="E8:E14" si="0">IF(LEN(D8)&gt;4,1,0)</f>
        <v>0</v>
      </c>
    </row>
    <row r="9" spans="1:5" s="1" customFormat="1" ht="29.25" customHeight="1">
      <c r="A9" s="85" t="s">
        <v>350</v>
      </c>
      <c r="B9" s="85"/>
      <c r="C9" s="85"/>
      <c r="D9" s="46" t="b">
        <v>0</v>
      </c>
      <c r="E9" s="1">
        <f t="shared" si="0"/>
        <v>0</v>
      </c>
    </row>
    <row r="10" spans="1:5" s="1" customFormat="1" ht="29.25" customHeight="1">
      <c r="A10" s="85" t="s">
        <v>370</v>
      </c>
      <c r="B10" s="85"/>
      <c r="C10" s="85"/>
      <c r="D10" s="46" t="b">
        <v>0</v>
      </c>
      <c r="E10" s="1">
        <f t="shared" si="0"/>
        <v>0</v>
      </c>
    </row>
    <row r="11" spans="1:5" s="1" customFormat="1" ht="29.25" customHeight="1">
      <c r="A11" s="85" t="s">
        <v>371</v>
      </c>
      <c r="B11" s="85"/>
      <c r="C11" s="85"/>
      <c r="D11" s="46" t="b">
        <v>0</v>
      </c>
      <c r="E11" s="1">
        <f t="shared" si="0"/>
        <v>0</v>
      </c>
    </row>
    <row r="12" spans="1:5" s="1" customFormat="1" ht="29.25" customHeight="1">
      <c r="A12" s="85" t="s">
        <v>353</v>
      </c>
      <c r="B12" s="85"/>
      <c r="C12" s="85"/>
      <c r="D12" s="46" t="b">
        <v>0</v>
      </c>
      <c r="E12" s="1">
        <f t="shared" si="0"/>
        <v>0</v>
      </c>
    </row>
    <row r="13" spans="1:5" s="1" customFormat="1" ht="29.25" customHeight="1">
      <c r="A13" s="85" t="s">
        <v>372</v>
      </c>
      <c r="B13" s="85"/>
      <c r="C13" s="85"/>
      <c r="D13" s="46" t="b">
        <v>0</v>
      </c>
      <c r="E13" s="1">
        <f t="shared" si="0"/>
        <v>0</v>
      </c>
    </row>
    <row r="14" spans="1:5" s="1" customFormat="1" ht="29.25" customHeight="1">
      <c r="A14" s="84" t="s">
        <v>373</v>
      </c>
      <c r="B14" s="84"/>
      <c r="C14" s="84"/>
      <c r="D14" s="46" t="b">
        <v>0</v>
      </c>
      <c r="E14" s="1">
        <f t="shared" si="0"/>
        <v>0</v>
      </c>
    </row>
    <row r="15" spans="1:5">
      <c r="E15" s="1">
        <f>SUM(E7:E14)</f>
        <v>0</v>
      </c>
    </row>
  </sheetData>
  <sheetProtection sheet="1" objects="1" scenarios="1" selectLockedCells="1"/>
  <mergeCells count="13">
    <mergeCell ref="A7:C7"/>
    <mergeCell ref="A1:B1"/>
    <mergeCell ref="A2:D2"/>
    <mergeCell ref="A3:B3"/>
    <mergeCell ref="A4:B4"/>
    <mergeCell ref="A6:D6"/>
    <mergeCell ref="A14:C14"/>
    <mergeCell ref="A8:C8"/>
    <mergeCell ref="A9:C9"/>
    <mergeCell ref="A10:C10"/>
    <mergeCell ref="A11:C11"/>
    <mergeCell ref="A12:C12"/>
    <mergeCell ref="A13:C13"/>
  </mergeCells>
  <conditionalFormatting sqref="A7">
    <cfRule type="duplicateValues" dxfId="35" priority="2"/>
  </conditionalFormatting>
  <conditionalFormatting sqref="A8:A14">
    <cfRule type="duplicateValues" dxfId="34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 codeName="Лист31"/>
  <dimension ref="A1:E15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45" customHeight="1">
      <c r="A7" s="85" t="s">
        <v>369</v>
      </c>
      <c r="B7" s="85"/>
      <c r="C7" s="85"/>
      <c r="D7" s="46" t="b">
        <v>0</v>
      </c>
      <c r="E7" s="1">
        <f>IF(LEN(D7)&gt;4,1,0)</f>
        <v>0</v>
      </c>
    </row>
    <row r="8" spans="1:5" s="1" customFormat="1" ht="29.25" customHeight="1">
      <c r="A8" s="85" t="s">
        <v>352</v>
      </c>
      <c r="B8" s="85"/>
      <c r="C8" s="85"/>
      <c r="D8" s="46" t="b">
        <v>0</v>
      </c>
      <c r="E8" s="1">
        <f t="shared" ref="E8:E14" si="0">IF(LEN(D8)&gt;4,1,0)</f>
        <v>0</v>
      </c>
    </row>
    <row r="9" spans="1:5" s="1" customFormat="1" ht="29.25" customHeight="1">
      <c r="A9" s="85" t="s">
        <v>350</v>
      </c>
      <c r="B9" s="85"/>
      <c r="C9" s="85"/>
      <c r="D9" s="46" t="b">
        <v>0</v>
      </c>
      <c r="E9" s="1">
        <f t="shared" si="0"/>
        <v>0</v>
      </c>
    </row>
    <row r="10" spans="1:5" s="1" customFormat="1" ht="29.25" customHeight="1">
      <c r="A10" s="85" t="s">
        <v>370</v>
      </c>
      <c r="B10" s="85"/>
      <c r="C10" s="85"/>
      <c r="D10" s="46" t="b">
        <v>0</v>
      </c>
      <c r="E10" s="1">
        <f t="shared" si="0"/>
        <v>0</v>
      </c>
    </row>
    <row r="11" spans="1:5" s="1" customFormat="1" ht="29.25" customHeight="1">
      <c r="A11" s="85" t="s">
        <v>371</v>
      </c>
      <c r="B11" s="85"/>
      <c r="C11" s="85"/>
      <c r="D11" s="46" t="b">
        <v>0</v>
      </c>
      <c r="E11" s="1">
        <f t="shared" si="0"/>
        <v>0</v>
      </c>
    </row>
    <row r="12" spans="1:5" s="1" customFormat="1" ht="29.25" customHeight="1">
      <c r="A12" s="85" t="s">
        <v>353</v>
      </c>
      <c r="B12" s="85"/>
      <c r="C12" s="85"/>
      <c r="D12" s="46" t="b">
        <v>0</v>
      </c>
      <c r="E12" s="1">
        <f t="shared" si="0"/>
        <v>0</v>
      </c>
    </row>
    <row r="13" spans="1:5" s="1" customFormat="1" ht="29.25" customHeight="1">
      <c r="A13" s="85" t="s">
        <v>372</v>
      </c>
      <c r="B13" s="85"/>
      <c r="C13" s="85"/>
      <c r="D13" s="46" t="b">
        <v>0</v>
      </c>
      <c r="E13" s="1">
        <f t="shared" si="0"/>
        <v>0</v>
      </c>
    </row>
    <row r="14" spans="1:5" s="1" customFormat="1" ht="29.25" customHeight="1">
      <c r="A14" s="84" t="s">
        <v>373</v>
      </c>
      <c r="B14" s="84"/>
      <c r="C14" s="84"/>
      <c r="D14" s="46" t="b">
        <v>0</v>
      </c>
      <c r="E14" s="1">
        <f t="shared" si="0"/>
        <v>0</v>
      </c>
    </row>
    <row r="15" spans="1:5">
      <c r="E15" s="1">
        <f>SUM(E7:E14)</f>
        <v>0</v>
      </c>
    </row>
  </sheetData>
  <sheetProtection sheet="1" objects="1" scenarios="1" selectLockedCells="1"/>
  <mergeCells count="13">
    <mergeCell ref="A7:C7"/>
    <mergeCell ref="A1:B1"/>
    <mergeCell ref="A2:D2"/>
    <mergeCell ref="A3:B3"/>
    <mergeCell ref="A4:B4"/>
    <mergeCell ref="A6:D6"/>
    <mergeCell ref="A14:C14"/>
    <mergeCell ref="A8:C8"/>
    <mergeCell ref="A9:C9"/>
    <mergeCell ref="A10:C10"/>
    <mergeCell ref="A11:C11"/>
    <mergeCell ref="A12:C12"/>
    <mergeCell ref="A13:C13"/>
  </mergeCells>
  <conditionalFormatting sqref="A7">
    <cfRule type="duplicateValues" dxfId="33" priority="2"/>
  </conditionalFormatting>
  <conditionalFormatting sqref="A8:A14">
    <cfRule type="duplicateValues" dxfId="32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 codeName="Лист32"/>
  <dimension ref="A1:E15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263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396</v>
      </c>
      <c r="B6" s="78"/>
      <c r="C6" s="78"/>
      <c r="D6" s="78"/>
    </row>
    <row r="7" spans="1:5" s="1" customFormat="1" ht="45" customHeight="1">
      <c r="A7" s="85" t="s">
        <v>369</v>
      </c>
      <c r="B7" s="85"/>
      <c r="C7" s="85"/>
      <c r="D7" s="46" t="b">
        <v>0</v>
      </c>
      <c r="E7" s="1">
        <f>IF(LEN(D7)&gt;4,1,0)</f>
        <v>0</v>
      </c>
    </row>
    <row r="8" spans="1:5" s="1" customFormat="1" ht="29.25" customHeight="1">
      <c r="A8" s="85" t="s">
        <v>352</v>
      </c>
      <c r="B8" s="85"/>
      <c r="C8" s="85"/>
      <c r="D8" s="46" t="b">
        <v>0</v>
      </c>
      <c r="E8" s="1">
        <f t="shared" ref="E8:E14" si="0">IF(LEN(D8)&gt;4,1,0)</f>
        <v>0</v>
      </c>
    </row>
    <row r="9" spans="1:5" s="1" customFormat="1" ht="29.25" customHeight="1">
      <c r="A9" s="85" t="s">
        <v>350</v>
      </c>
      <c r="B9" s="85"/>
      <c r="C9" s="85"/>
      <c r="D9" s="46" t="b">
        <v>0</v>
      </c>
      <c r="E9" s="1">
        <f t="shared" si="0"/>
        <v>0</v>
      </c>
    </row>
    <row r="10" spans="1:5" s="1" customFormat="1" ht="29.25" customHeight="1">
      <c r="A10" s="85" t="s">
        <v>370</v>
      </c>
      <c r="B10" s="85"/>
      <c r="C10" s="85"/>
      <c r="D10" s="46" t="b">
        <v>1</v>
      </c>
      <c r="E10" s="1">
        <f t="shared" si="0"/>
        <v>1</v>
      </c>
    </row>
    <row r="11" spans="1:5" s="1" customFormat="1" ht="29.25" customHeight="1">
      <c r="A11" s="85" t="s">
        <v>371</v>
      </c>
      <c r="B11" s="85"/>
      <c r="C11" s="85"/>
      <c r="D11" s="46" t="b">
        <v>0</v>
      </c>
      <c r="E11" s="1">
        <f t="shared" si="0"/>
        <v>0</v>
      </c>
    </row>
    <row r="12" spans="1:5" s="1" customFormat="1" ht="29.25" customHeight="1">
      <c r="A12" s="85" t="s">
        <v>353</v>
      </c>
      <c r="B12" s="85"/>
      <c r="C12" s="85"/>
      <c r="D12" s="46" t="b">
        <v>0</v>
      </c>
      <c r="E12" s="1">
        <f t="shared" si="0"/>
        <v>0</v>
      </c>
    </row>
    <row r="13" spans="1:5" s="1" customFormat="1" ht="29.25" customHeight="1">
      <c r="A13" s="85" t="s">
        <v>372</v>
      </c>
      <c r="B13" s="85"/>
      <c r="C13" s="85"/>
      <c r="D13" s="46" t="b">
        <v>1</v>
      </c>
      <c r="E13" s="1">
        <f t="shared" si="0"/>
        <v>1</v>
      </c>
    </row>
    <row r="14" spans="1:5" s="1" customFormat="1" ht="29.25" customHeight="1">
      <c r="A14" s="84" t="s">
        <v>373</v>
      </c>
      <c r="B14" s="84"/>
      <c r="C14" s="84"/>
      <c r="D14" s="46" t="b">
        <v>1</v>
      </c>
      <c r="E14" s="1">
        <f t="shared" si="0"/>
        <v>1</v>
      </c>
    </row>
    <row r="15" spans="1:5">
      <c r="E15" s="1">
        <f>SUM(E7:E14)</f>
        <v>3</v>
      </c>
    </row>
  </sheetData>
  <sheetProtection sheet="1" objects="1" scenarios="1" selectLockedCells="1"/>
  <mergeCells count="13">
    <mergeCell ref="A7:C7"/>
    <mergeCell ref="A1:B1"/>
    <mergeCell ref="A2:D2"/>
    <mergeCell ref="A3:B3"/>
    <mergeCell ref="A4:B4"/>
    <mergeCell ref="A6:D6"/>
    <mergeCell ref="A14:C14"/>
    <mergeCell ref="A8:C8"/>
    <mergeCell ref="A9:C9"/>
    <mergeCell ref="A10:C10"/>
    <mergeCell ref="A11:C11"/>
    <mergeCell ref="A12:C12"/>
    <mergeCell ref="A13:C13"/>
  </mergeCells>
  <conditionalFormatting sqref="A7">
    <cfRule type="duplicateValues" dxfId="31" priority="2"/>
  </conditionalFormatting>
  <conditionalFormatting sqref="A8:A14">
    <cfRule type="duplicateValues" dxfId="30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 codeName="Лист33"/>
  <dimension ref="A1:E1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377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399</v>
      </c>
      <c r="B6" s="78"/>
      <c r="C6" s="78"/>
      <c r="D6" s="78"/>
    </row>
    <row r="7" spans="1:5" s="1" customFormat="1" ht="30" customHeight="1">
      <c r="A7" s="82" t="s">
        <v>378</v>
      </c>
      <c r="B7" s="82"/>
      <c r="C7" s="82"/>
      <c r="D7" s="46" t="b">
        <v>1</v>
      </c>
      <c r="E7" s="1">
        <f>IF(LEN(D7)&gt;4,1,0)</f>
        <v>1</v>
      </c>
    </row>
    <row r="8" spans="1:5" s="1" customFormat="1" ht="29.25" customHeight="1">
      <c r="A8" s="82" t="s">
        <v>379</v>
      </c>
      <c r="B8" s="82"/>
      <c r="C8" s="82"/>
      <c r="D8" s="46" t="b">
        <v>0</v>
      </c>
      <c r="E8" s="1">
        <f t="shared" ref="E8:E10" si="0">IF(LEN(D8)&gt;4,1,0)</f>
        <v>0</v>
      </c>
    </row>
    <row r="9" spans="1:5" s="1" customFormat="1" ht="29.25" customHeight="1">
      <c r="A9" s="82" t="s">
        <v>380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381</v>
      </c>
      <c r="B10" s="81"/>
      <c r="C10" s="81"/>
      <c r="D10" s="46" t="b">
        <v>0</v>
      </c>
      <c r="E10" s="1">
        <f t="shared" si="0"/>
        <v>0</v>
      </c>
    </row>
    <row r="11" spans="1:5">
      <c r="E11" s="1">
        <f>SUM(E7:E10)</f>
        <v>1</v>
      </c>
    </row>
  </sheetData>
  <sheetProtection sheet="1" objects="1" scenarios="1" selectLockedCells="1"/>
  <mergeCells count="9">
    <mergeCell ref="A8:C8"/>
    <mergeCell ref="A9:C9"/>
    <mergeCell ref="A10:C10"/>
    <mergeCell ref="A1:B1"/>
    <mergeCell ref="A2:D2"/>
    <mergeCell ref="A3:B3"/>
    <mergeCell ref="A4:B4"/>
    <mergeCell ref="A6:D6"/>
    <mergeCell ref="A7:C7"/>
  </mergeCells>
  <conditionalFormatting sqref="A7">
    <cfRule type="duplicateValues" dxfId="29" priority="3"/>
  </conditionalFormatting>
  <conditionalFormatting sqref="A8:A10">
    <cfRule type="duplicateValues" dxfId="28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sheetPr codeName="Лист34"/>
  <dimension ref="A1:E1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377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399</v>
      </c>
      <c r="B6" s="78"/>
      <c r="C6" s="78"/>
      <c r="D6" s="78"/>
    </row>
    <row r="7" spans="1:5" s="1" customFormat="1" ht="30" customHeight="1">
      <c r="A7" s="82" t="s">
        <v>378</v>
      </c>
      <c r="B7" s="82"/>
      <c r="C7" s="82"/>
      <c r="D7" s="46" t="b">
        <v>1</v>
      </c>
      <c r="E7" s="1">
        <f>IF(LEN(D7)&gt;4,1,0)</f>
        <v>1</v>
      </c>
    </row>
    <row r="8" spans="1:5" s="1" customFormat="1" ht="29.25" customHeight="1">
      <c r="A8" s="82" t="s">
        <v>379</v>
      </c>
      <c r="B8" s="82"/>
      <c r="C8" s="82"/>
      <c r="D8" s="46" t="b">
        <v>0</v>
      </c>
      <c r="E8" s="1">
        <f t="shared" ref="E8:E10" si="0">IF(LEN(D8)&gt;4,1,0)</f>
        <v>0</v>
      </c>
    </row>
    <row r="9" spans="1:5" s="1" customFormat="1" ht="29.25" customHeight="1">
      <c r="A9" s="82" t="s">
        <v>380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381</v>
      </c>
      <c r="B10" s="81"/>
      <c r="C10" s="81"/>
      <c r="D10" s="46" t="b">
        <v>0</v>
      </c>
      <c r="E10" s="1">
        <f t="shared" si="0"/>
        <v>0</v>
      </c>
    </row>
    <row r="11" spans="1:5">
      <c r="E11" s="1">
        <f>SUM(E7:E10)</f>
        <v>1</v>
      </c>
    </row>
  </sheetData>
  <sheetProtection sheet="1" objects="1" scenarios="1" selectLockedCells="1"/>
  <mergeCells count="9">
    <mergeCell ref="A8:C8"/>
    <mergeCell ref="A9:C9"/>
    <mergeCell ref="A10:C10"/>
    <mergeCell ref="A1:B1"/>
    <mergeCell ref="A2:D2"/>
    <mergeCell ref="A3:B3"/>
    <mergeCell ref="A4:B4"/>
    <mergeCell ref="A6:D6"/>
    <mergeCell ref="A7:C7"/>
  </mergeCells>
  <conditionalFormatting sqref="A7">
    <cfRule type="duplicateValues" dxfId="27" priority="2"/>
  </conditionalFormatting>
  <conditionalFormatting sqref="A8:A10">
    <cfRule type="duplicateValues" dxfId="26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sheetPr codeName="Лист35"/>
  <dimension ref="A1:E1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377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399</v>
      </c>
      <c r="B6" s="78"/>
      <c r="C6" s="78"/>
      <c r="D6" s="78"/>
    </row>
    <row r="7" spans="1:5" s="1" customFormat="1" ht="30" customHeight="1">
      <c r="A7" s="82" t="s">
        <v>378</v>
      </c>
      <c r="B7" s="82"/>
      <c r="C7" s="82"/>
      <c r="D7" s="46" t="b">
        <v>1</v>
      </c>
      <c r="E7" s="1">
        <f>IF(LEN(D7)&gt;4,1,0)</f>
        <v>1</v>
      </c>
    </row>
    <row r="8" spans="1:5" s="1" customFormat="1" ht="29.25" customHeight="1">
      <c r="A8" s="82" t="s">
        <v>379</v>
      </c>
      <c r="B8" s="82"/>
      <c r="C8" s="82"/>
      <c r="D8" s="46" t="b">
        <v>0</v>
      </c>
      <c r="E8" s="1">
        <f t="shared" ref="E8:E10" si="0">IF(LEN(D8)&gt;4,1,0)</f>
        <v>0</v>
      </c>
    </row>
    <row r="9" spans="1:5" s="1" customFormat="1" ht="29.25" customHeight="1">
      <c r="A9" s="82" t="s">
        <v>380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381</v>
      </c>
      <c r="B10" s="81"/>
      <c r="C10" s="81"/>
      <c r="D10" s="46" t="b">
        <v>0</v>
      </c>
      <c r="E10" s="1">
        <f t="shared" si="0"/>
        <v>0</v>
      </c>
    </row>
    <row r="11" spans="1:5">
      <c r="E11" s="1">
        <f>SUM(E7:E10)</f>
        <v>1</v>
      </c>
    </row>
  </sheetData>
  <sheetProtection sheet="1" objects="1" scenarios="1" selectLockedCells="1"/>
  <mergeCells count="9">
    <mergeCell ref="A8:C8"/>
    <mergeCell ref="A9:C9"/>
    <mergeCell ref="A10:C10"/>
    <mergeCell ref="A1:B1"/>
    <mergeCell ref="A2:D2"/>
    <mergeCell ref="A3:B3"/>
    <mergeCell ref="A4:B4"/>
    <mergeCell ref="A6:D6"/>
    <mergeCell ref="A7:C7"/>
  </mergeCells>
  <conditionalFormatting sqref="A7">
    <cfRule type="duplicateValues" dxfId="25" priority="2"/>
  </conditionalFormatting>
  <conditionalFormatting sqref="A8:A10">
    <cfRule type="duplicateValues" dxfId="24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sheetPr codeName="Лист36"/>
  <dimension ref="A1:E1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382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400</v>
      </c>
      <c r="B6" s="78"/>
      <c r="C6" s="78"/>
      <c r="D6" s="78"/>
    </row>
    <row r="7" spans="1:5" s="1" customFormat="1" ht="30" customHeight="1">
      <c r="A7" s="82" t="s">
        <v>383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384</v>
      </c>
      <c r="B8" s="82"/>
      <c r="C8" s="82"/>
      <c r="D8" s="46" t="b">
        <v>0</v>
      </c>
      <c r="E8" s="1">
        <f t="shared" ref="E8:E10" si="0">IF(LEN(D8)&gt;4,1,0)</f>
        <v>0</v>
      </c>
    </row>
    <row r="9" spans="1:5" s="1" customFormat="1" ht="29.25" customHeight="1">
      <c r="A9" s="82" t="s">
        <v>385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386</v>
      </c>
      <c r="B10" s="81"/>
      <c r="C10" s="81"/>
      <c r="D10" s="46" t="b">
        <v>1</v>
      </c>
      <c r="E10" s="1">
        <f t="shared" si="0"/>
        <v>1</v>
      </c>
    </row>
    <row r="11" spans="1:5">
      <c r="E11" s="1">
        <f>SUM(E7:E10)</f>
        <v>1</v>
      </c>
    </row>
  </sheetData>
  <sheetProtection sheet="1" selectLockedCells="1"/>
  <mergeCells count="9">
    <mergeCell ref="A8:C8"/>
    <mergeCell ref="A9:C9"/>
    <mergeCell ref="A10:C10"/>
    <mergeCell ref="A1:B1"/>
    <mergeCell ref="A2:D2"/>
    <mergeCell ref="A3:B3"/>
    <mergeCell ref="A4:B4"/>
    <mergeCell ref="A6:D6"/>
    <mergeCell ref="A7:C7"/>
  </mergeCells>
  <conditionalFormatting sqref="A7">
    <cfRule type="duplicateValues" dxfId="23" priority="3"/>
  </conditionalFormatting>
  <conditionalFormatting sqref="A8:A10">
    <cfRule type="duplicateValues" dxfId="22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sheetPr codeName="Лист37"/>
  <dimension ref="A1:E1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382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400</v>
      </c>
      <c r="B6" s="78"/>
      <c r="C6" s="78"/>
      <c r="D6" s="78"/>
    </row>
    <row r="7" spans="1:5" s="1" customFormat="1" ht="30" customHeight="1">
      <c r="A7" s="82" t="s">
        <v>383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384</v>
      </c>
      <c r="B8" s="82"/>
      <c r="C8" s="82"/>
      <c r="D8" s="46" t="b">
        <v>0</v>
      </c>
      <c r="E8" s="1">
        <f t="shared" ref="E8:E10" si="0">IF(LEN(D8)&gt;4,1,0)</f>
        <v>0</v>
      </c>
    </row>
    <row r="9" spans="1:5" s="1" customFormat="1" ht="29.25" customHeight="1">
      <c r="A9" s="82" t="s">
        <v>385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386</v>
      </c>
      <c r="B10" s="81"/>
      <c r="C10" s="81"/>
      <c r="D10" s="46" t="b">
        <v>1</v>
      </c>
      <c r="E10" s="1">
        <f t="shared" si="0"/>
        <v>1</v>
      </c>
    </row>
    <row r="11" spans="1:5">
      <c r="E11" s="1">
        <f>SUM(E7:E10)</f>
        <v>1</v>
      </c>
    </row>
  </sheetData>
  <sheetProtection sheet="1" objects="1" scenarios="1" selectLockedCells="1"/>
  <mergeCells count="9">
    <mergeCell ref="A8:C8"/>
    <mergeCell ref="A9:C9"/>
    <mergeCell ref="A10:C10"/>
    <mergeCell ref="A1:B1"/>
    <mergeCell ref="A2:D2"/>
    <mergeCell ref="A3:B3"/>
    <mergeCell ref="A4:B4"/>
    <mergeCell ref="A6:D6"/>
    <mergeCell ref="A7:C7"/>
  </mergeCells>
  <conditionalFormatting sqref="A7">
    <cfRule type="duplicateValues" dxfId="21" priority="2"/>
  </conditionalFormatting>
  <conditionalFormatting sqref="A8:A10">
    <cfRule type="duplicateValues" dxfId="20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sheetPr codeName="Лист38"/>
  <dimension ref="A1:E11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382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28"/>
      <c r="B5" s="28"/>
      <c r="C5" s="26"/>
      <c r="D5" s="26"/>
      <c r="E5" s="40"/>
    </row>
    <row r="6" spans="1:5" ht="58.5" customHeight="1">
      <c r="A6" s="78" t="s">
        <v>400</v>
      </c>
      <c r="B6" s="78"/>
      <c r="C6" s="78"/>
      <c r="D6" s="78"/>
    </row>
    <row r="7" spans="1:5" s="1" customFormat="1" ht="30" customHeight="1">
      <c r="A7" s="82" t="s">
        <v>383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384</v>
      </c>
      <c r="B8" s="82"/>
      <c r="C8" s="82"/>
      <c r="D8" s="46" t="b">
        <v>0</v>
      </c>
      <c r="E8" s="1">
        <f t="shared" ref="E8:E10" si="0">IF(LEN(D8)&gt;4,1,0)</f>
        <v>0</v>
      </c>
    </row>
    <row r="9" spans="1:5" s="1" customFormat="1" ht="29.25" customHeight="1">
      <c r="A9" s="82" t="s">
        <v>385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386</v>
      </c>
      <c r="B10" s="81"/>
      <c r="C10" s="81"/>
      <c r="D10" s="46" t="b">
        <v>1</v>
      </c>
      <c r="E10" s="1">
        <f t="shared" si="0"/>
        <v>1</v>
      </c>
    </row>
    <row r="11" spans="1:5">
      <c r="E11" s="1">
        <f>SUM(E7:E10)</f>
        <v>1</v>
      </c>
    </row>
  </sheetData>
  <sheetProtection sheet="1" selectLockedCells="1"/>
  <mergeCells count="9">
    <mergeCell ref="A8:C8"/>
    <mergeCell ref="A9:C9"/>
    <mergeCell ref="A10:C10"/>
    <mergeCell ref="A1:B1"/>
    <mergeCell ref="A2:D2"/>
    <mergeCell ref="A3:B3"/>
    <mergeCell ref="A4:B4"/>
    <mergeCell ref="A6:D6"/>
    <mergeCell ref="A7:C7"/>
  </mergeCells>
  <conditionalFormatting sqref="A7">
    <cfRule type="duplicateValues" dxfId="19" priority="2"/>
  </conditionalFormatting>
  <conditionalFormatting sqref="A8:A10">
    <cfRule type="duplicateValues" dxfId="18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5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5" max="5" width="9.109375" hidden="1" customWidth="1"/>
  </cols>
  <sheetData>
    <row r="1" spans="1:5" ht="47.25" customHeight="1">
      <c r="A1" s="70" t="s">
        <v>54</v>
      </c>
      <c r="B1" s="70"/>
      <c r="C1" s="26"/>
    </row>
    <row r="2" spans="1:5" ht="51.75" customHeight="1">
      <c r="A2" s="71" t="s">
        <v>410</v>
      </c>
      <c r="B2" s="71"/>
      <c r="C2" s="7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</row>
    <row r="5" spans="1:5" ht="15.75" customHeight="1">
      <c r="A5" s="53"/>
      <c r="B5" s="53"/>
      <c r="C5" s="26"/>
    </row>
    <row r="6" spans="1:5" ht="88.5" customHeight="1">
      <c r="A6" s="78" t="s">
        <v>412</v>
      </c>
      <c r="B6" s="78"/>
      <c r="C6" s="78"/>
    </row>
    <row r="7" spans="1:5" s="1" customFormat="1" ht="42" customHeight="1">
      <c r="A7" s="86"/>
      <c r="B7" s="86"/>
      <c r="C7" s="86"/>
      <c r="E7" s="1">
        <f>LEN(A7)</f>
        <v>0</v>
      </c>
    </row>
    <row r="8" spans="1:5" s="1" customFormat="1" ht="18" customHeight="1">
      <c r="A8" s="91" t="s">
        <v>421</v>
      </c>
      <c r="B8" s="91"/>
      <c r="C8" s="92"/>
    </row>
    <row r="9" spans="1:5" ht="35.25" customHeight="1">
      <c r="A9" s="57" t="s">
        <v>420</v>
      </c>
      <c r="B9" s="87" t="s">
        <v>419</v>
      </c>
      <c r="C9" s="88"/>
    </row>
    <row r="10" spans="1:5" ht="35.25" customHeight="1">
      <c r="A10" s="58"/>
      <c r="B10" s="87" t="s">
        <v>418</v>
      </c>
      <c r="C10" s="88"/>
    </row>
    <row r="11" spans="1:5" ht="35.25" customHeight="1">
      <c r="A11" s="58"/>
      <c r="B11" s="87" t="s">
        <v>417</v>
      </c>
      <c r="C11" s="88"/>
    </row>
    <row r="12" spans="1:5" ht="35.25" customHeight="1">
      <c r="A12" s="58"/>
      <c r="B12" s="87" t="s">
        <v>416</v>
      </c>
      <c r="C12" s="88"/>
    </row>
    <row r="13" spans="1:5" ht="35.25" customHeight="1">
      <c r="A13" s="58"/>
      <c r="B13" s="87" t="s">
        <v>415</v>
      </c>
      <c r="C13" s="88"/>
    </row>
    <row r="14" spans="1:5" ht="35.25" customHeight="1">
      <c r="A14" s="58"/>
      <c r="B14" s="87" t="s">
        <v>414</v>
      </c>
      <c r="C14" s="88"/>
    </row>
    <row r="15" spans="1:5" ht="35.25" customHeight="1">
      <c r="A15" s="58"/>
      <c r="B15" s="89" t="s">
        <v>413</v>
      </c>
      <c r="C15" s="90"/>
    </row>
  </sheetData>
  <sheetProtection sheet="1" selectLockedCells="1"/>
  <mergeCells count="14">
    <mergeCell ref="B14:C14"/>
    <mergeCell ref="B15:C15"/>
    <mergeCell ref="A8:C8"/>
    <mergeCell ref="B9:C9"/>
    <mergeCell ref="B10:C10"/>
    <mergeCell ref="B11:C11"/>
    <mergeCell ref="B12:C12"/>
    <mergeCell ref="B13:C13"/>
    <mergeCell ref="A7:C7"/>
    <mergeCell ref="A1:B1"/>
    <mergeCell ref="A2:C2"/>
    <mergeCell ref="A3:B3"/>
    <mergeCell ref="A4:B4"/>
    <mergeCell ref="A6:C6"/>
  </mergeCells>
  <conditionalFormatting sqref="A7:A8">
    <cfRule type="duplicateValues" dxfId="17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'НИОКТР_26-30'!$B$3:$B$6</xm:f>
          </x14:formula1>
          <xm:sqref>A7:C7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>
  <dimension ref="A1:E15"/>
  <sheetViews>
    <sheetView showGridLines="0" workbookViewId="0">
      <selection activeCell="A7" sqref="A7:C7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5" max="5" width="0" hidden="1" customWidth="1"/>
  </cols>
  <sheetData>
    <row r="1" spans="1:5" ht="47.25" customHeight="1">
      <c r="A1" s="70" t="s">
        <v>54</v>
      </c>
      <c r="B1" s="70"/>
      <c r="C1" s="26"/>
    </row>
    <row r="2" spans="1:5" ht="51.75" customHeight="1">
      <c r="A2" s="71" t="s">
        <v>410</v>
      </c>
      <c r="B2" s="71"/>
      <c r="C2" s="7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</row>
    <row r="5" spans="1:5" ht="15.75" customHeight="1">
      <c r="A5" s="53"/>
      <c r="B5" s="53"/>
      <c r="C5" s="26"/>
    </row>
    <row r="6" spans="1:5" ht="88.5" customHeight="1">
      <c r="A6" s="78" t="s">
        <v>412</v>
      </c>
      <c r="B6" s="78"/>
      <c r="C6" s="78"/>
    </row>
    <row r="7" spans="1:5" s="1" customFormat="1" ht="42" customHeight="1">
      <c r="A7" s="86"/>
      <c r="B7" s="86"/>
      <c r="C7" s="86"/>
      <c r="E7" s="1">
        <f>LEN(A7)</f>
        <v>0</v>
      </c>
    </row>
    <row r="8" spans="1:5" s="1" customFormat="1" ht="18" customHeight="1">
      <c r="A8" s="91" t="s">
        <v>421</v>
      </c>
      <c r="B8" s="91"/>
      <c r="C8" s="92"/>
    </row>
    <row r="9" spans="1:5" ht="35.25" customHeight="1">
      <c r="A9" s="57" t="s">
        <v>420</v>
      </c>
      <c r="B9" s="87" t="s">
        <v>419</v>
      </c>
      <c r="C9" s="88"/>
    </row>
    <row r="10" spans="1:5" ht="35.25" customHeight="1">
      <c r="A10" s="58"/>
      <c r="B10" s="87" t="s">
        <v>418</v>
      </c>
      <c r="C10" s="88"/>
    </row>
    <row r="11" spans="1:5" ht="35.25" customHeight="1">
      <c r="A11" s="58"/>
      <c r="B11" s="87" t="s">
        <v>417</v>
      </c>
      <c r="C11" s="88"/>
    </row>
    <row r="12" spans="1:5" ht="35.25" customHeight="1">
      <c r="A12" s="58"/>
      <c r="B12" s="87" t="s">
        <v>416</v>
      </c>
      <c r="C12" s="88"/>
    </row>
    <row r="13" spans="1:5" ht="35.25" customHeight="1">
      <c r="A13" s="58"/>
      <c r="B13" s="87" t="s">
        <v>415</v>
      </c>
      <c r="C13" s="88"/>
    </row>
    <row r="14" spans="1:5" ht="35.25" customHeight="1">
      <c r="A14" s="58"/>
      <c r="B14" s="87" t="s">
        <v>414</v>
      </c>
      <c r="C14" s="88"/>
    </row>
    <row r="15" spans="1:5" ht="35.25" customHeight="1">
      <c r="A15" s="58"/>
      <c r="B15" s="89" t="s">
        <v>413</v>
      </c>
      <c r="C15" s="90"/>
    </row>
  </sheetData>
  <sheetProtection sheet="1" selectLockedCells="1"/>
  <mergeCells count="14">
    <mergeCell ref="B14:C14"/>
    <mergeCell ref="B15:C15"/>
    <mergeCell ref="A8:C8"/>
    <mergeCell ref="B9:C9"/>
    <mergeCell ref="B10:C10"/>
    <mergeCell ref="B11:C11"/>
    <mergeCell ref="B12:C12"/>
    <mergeCell ref="B13:C13"/>
    <mergeCell ref="A7:C7"/>
    <mergeCell ref="A1:B1"/>
    <mergeCell ref="A2:C2"/>
    <mergeCell ref="A3:B3"/>
    <mergeCell ref="A4:B4"/>
    <mergeCell ref="A6:C6"/>
  </mergeCells>
  <conditionalFormatting sqref="A7:A8">
    <cfRule type="duplicateValues" dxfId="16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'НИОКТР_26-30'!$B$3:$B$6</xm:f>
          </x14:formula1>
          <xm:sqref>A7:C7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>
  <dimension ref="A1:E15"/>
  <sheetViews>
    <sheetView showGridLines="0" workbookViewId="0">
      <selection activeCell="A7" sqref="A7:C7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5" max="5" width="0" hidden="1" customWidth="1"/>
  </cols>
  <sheetData>
    <row r="1" spans="1:5" ht="47.25" customHeight="1">
      <c r="A1" s="70" t="s">
        <v>54</v>
      </c>
      <c r="B1" s="70"/>
      <c r="C1" s="26"/>
    </row>
    <row r="2" spans="1:5" ht="51.75" customHeight="1">
      <c r="A2" s="71" t="s">
        <v>410</v>
      </c>
      <c r="B2" s="71"/>
      <c r="C2" s="71"/>
    </row>
    <row r="3" spans="1:5" ht="30.75" customHeight="1">
      <c r="A3" s="72" t="s">
        <v>171</v>
      </c>
      <c r="B3" s="72"/>
      <c r="C3" s="25" t="str">
        <f>Форма!B12</f>
        <v>Прочее</v>
      </c>
    </row>
    <row r="4" spans="1:5" ht="15.75" customHeight="1">
      <c r="A4" s="72" t="s">
        <v>48</v>
      </c>
      <c r="B4" s="72"/>
      <c r="C4" s="25" t="str">
        <f>Форма!C12</f>
        <v>Иное</v>
      </c>
    </row>
    <row r="5" spans="1:5" ht="15.75" customHeight="1">
      <c r="A5" s="53"/>
      <c r="B5" s="53"/>
      <c r="C5" s="26"/>
    </row>
    <row r="6" spans="1:5" ht="88.5" customHeight="1">
      <c r="A6" s="78" t="s">
        <v>412</v>
      </c>
      <c r="B6" s="78"/>
      <c r="C6" s="78"/>
    </row>
    <row r="7" spans="1:5" s="1" customFormat="1" ht="42" customHeight="1">
      <c r="A7" s="93"/>
      <c r="B7" s="93"/>
      <c r="C7" s="93"/>
      <c r="E7" s="1">
        <f>LEN(A7)</f>
        <v>0</v>
      </c>
    </row>
    <row r="8" spans="1:5" s="1" customFormat="1" ht="18" customHeight="1">
      <c r="A8" s="91" t="s">
        <v>421</v>
      </c>
      <c r="B8" s="91"/>
      <c r="C8" s="92"/>
    </row>
    <row r="9" spans="1:5" ht="35.25" customHeight="1">
      <c r="A9" s="57" t="s">
        <v>420</v>
      </c>
      <c r="B9" s="87" t="s">
        <v>419</v>
      </c>
      <c r="C9" s="88"/>
    </row>
    <row r="10" spans="1:5" ht="35.25" customHeight="1">
      <c r="A10" s="58"/>
      <c r="B10" s="87" t="s">
        <v>418</v>
      </c>
      <c r="C10" s="88"/>
    </row>
    <row r="11" spans="1:5" ht="35.25" customHeight="1">
      <c r="A11" s="58"/>
      <c r="B11" s="87" t="s">
        <v>417</v>
      </c>
      <c r="C11" s="88"/>
    </row>
    <row r="12" spans="1:5" ht="35.25" customHeight="1">
      <c r="A12" s="58"/>
      <c r="B12" s="87" t="s">
        <v>416</v>
      </c>
      <c r="C12" s="88"/>
    </row>
    <row r="13" spans="1:5" ht="35.25" customHeight="1">
      <c r="A13" s="58"/>
      <c r="B13" s="87" t="s">
        <v>415</v>
      </c>
      <c r="C13" s="88"/>
    </row>
    <row r="14" spans="1:5" ht="35.25" customHeight="1">
      <c r="A14" s="58"/>
      <c r="B14" s="87" t="s">
        <v>414</v>
      </c>
      <c r="C14" s="88"/>
    </row>
    <row r="15" spans="1:5" ht="35.25" customHeight="1">
      <c r="A15" s="58"/>
      <c r="B15" s="89" t="s">
        <v>413</v>
      </c>
      <c r="C15" s="90"/>
    </row>
  </sheetData>
  <sheetProtection sheet="1" selectLockedCells="1"/>
  <mergeCells count="14">
    <mergeCell ref="B12:C12"/>
    <mergeCell ref="B13:C13"/>
    <mergeCell ref="B14:C14"/>
    <mergeCell ref="B15:C15"/>
    <mergeCell ref="A8:C8"/>
    <mergeCell ref="B9:C9"/>
    <mergeCell ref="B10:C10"/>
    <mergeCell ref="B11:C11"/>
    <mergeCell ref="A7:C7"/>
    <mergeCell ref="A1:B1"/>
    <mergeCell ref="A2:C2"/>
    <mergeCell ref="A3:B3"/>
    <mergeCell ref="A4:B4"/>
    <mergeCell ref="A6:C6"/>
  </mergeCells>
  <conditionalFormatting sqref="A7:A8">
    <cfRule type="duplicateValues" dxfId="15" priority="2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'НИОКТР_26-30'!$B$3:$B$6</xm:f>
          </x14:formula1>
          <xm:sqref>A7:C7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>
  <sheetPr codeName="Лист9"/>
  <dimension ref="A1:R16"/>
  <sheetViews>
    <sheetView workbookViewId="0">
      <selection activeCell="H28" sqref="H28"/>
    </sheetView>
  </sheetViews>
  <sheetFormatPr defaultColWidth="9.109375" defaultRowHeight="14.4"/>
  <cols>
    <col min="1" max="1" width="13" style="6" customWidth="1"/>
    <col min="2" max="2" width="81.33203125" style="6" customWidth="1"/>
    <col min="3" max="16384" width="9.109375" style="6"/>
  </cols>
  <sheetData>
    <row r="1" spans="1:18" ht="45.75" customHeight="1">
      <c r="A1" s="94" t="s">
        <v>2</v>
      </c>
      <c r="B1" s="95"/>
      <c r="C1" s="10"/>
      <c r="D1" s="10"/>
      <c r="E1" s="10"/>
      <c r="F1" s="10"/>
      <c r="G1" s="10"/>
      <c r="H1" s="10"/>
    </row>
    <row r="2" spans="1:18" ht="31.2">
      <c r="A2" s="7" t="s">
        <v>36</v>
      </c>
      <c r="B2" s="7" t="s">
        <v>3</v>
      </c>
      <c r="D2" t="s">
        <v>59</v>
      </c>
      <c r="E2" t="s">
        <v>60</v>
      </c>
      <c r="F2" t="s">
        <v>61</v>
      </c>
      <c r="G2" t="s">
        <v>56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</row>
    <row r="3" spans="1:18" ht="15.6">
      <c r="A3" s="8" t="s">
        <v>37</v>
      </c>
      <c r="B3" s="9" t="s">
        <v>22</v>
      </c>
      <c r="D3" t="s">
        <v>55</v>
      </c>
      <c r="E3" t="s">
        <v>55</v>
      </c>
      <c r="F3" t="s">
        <v>55</v>
      </c>
      <c r="G3" s="6" t="s">
        <v>56</v>
      </c>
      <c r="H3" s="6" t="s">
        <v>56</v>
      </c>
      <c r="I3" s="6" t="s">
        <v>56</v>
      </c>
      <c r="J3" s="6" t="s">
        <v>56</v>
      </c>
      <c r="K3" s="48" t="s">
        <v>57</v>
      </c>
      <c r="L3" s="48" t="s">
        <v>57</v>
      </c>
      <c r="M3" s="48" t="s">
        <v>57</v>
      </c>
      <c r="N3" s="48" t="s">
        <v>57</v>
      </c>
      <c r="O3" s="48" t="s">
        <v>57</v>
      </c>
      <c r="P3" s="6" t="s">
        <v>58</v>
      </c>
      <c r="Q3" s="6" t="s">
        <v>58</v>
      </c>
      <c r="R3" s="6" t="s">
        <v>58</v>
      </c>
    </row>
    <row r="4" spans="1:18" ht="15.6">
      <c r="A4" s="8" t="s">
        <v>38</v>
      </c>
      <c r="B4" s="9" t="s">
        <v>23</v>
      </c>
      <c r="D4"/>
      <c r="E4"/>
      <c r="F4" t="s">
        <v>56</v>
      </c>
    </row>
    <row r="5" spans="1:18" ht="15.6">
      <c r="A5" s="8" t="s">
        <v>39</v>
      </c>
      <c r="B5" s="9" t="s">
        <v>24</v>
      </c>
      <c r="D5"/>
      <c r="E5"/>
      <c r="F5"/>
    </row>
    <row r="6" spans="1:18" ht="15.6">
      <c r="A6" s="8" t="s">
        <v>40</v>
      </c>
      <c r="B6" s="9" t="s">
        <v>25</v>
      </c>
      <c r="D6"/>
      <c r="E6"/>
      <c r="F6" s="1"/>
    </row>
    <row r="7" spans="1:18" ht="15.6">
      <c r="A7" s="8" t="s">
        <v>41</v>
      </c>
      <c r="B7" s="9" t="s">
        <v>26</v>
      </c>
      <c r="D7"/>
      <c r="E7"/>
      <c r="F7" s="1"/>
    </row>
    <row r="8" spans="1:18" ht="15.6">
      <c r="A8" s="8" t="s">
        <v>42</v>
      </c>
      <c r="B8" s="9" t="s">
        <v>27</v>
      </c>
    </row>
    <row r="9" spans="1:18" ht="15.6">
      <c r="A9" s="8" t="s">
        <v>43</v>
      </c>
      <c r="B9" s="9" t="s">
        <v>28</v>
      </c>
    </row>
    <row r="10" spans="1:18" ht="15.6">
      <c r="A10" s="8" t="s">
        <v>44</v>
      </c>
      <c r="B10" s="9" t="s">
        <v>29</v>
      </c>
    </row>
    <row r="11" spans="1:18" ht="15.6">
      <c r="A11" s="8" t="s">
        <v>45</v>
      </c>
      <c r="B11" s="9" t="s">
        <v>30</v>
      </c>
    </row>
    <row r="12" spans="1:18" ht="15.6">
      <c r="A12" s="8" t="s">
        <v>4</v>
      </c>
      <c r="B12" s="9" t="s">
        <v>31</v>
      </c>
    </row>
    <row r="13" spans="1:18" ht="15.6">
      <c r="A13" s="8" t="s">
        <v>5</v>
      </c>
      <c r="B13" s="9" t="s">
        <v>32</v>
      </c>
    </row>
    <row r="14" spans="1:18" ht="15.6">
      <c r="A14" s="8" t="s">
        <v>6</v>
      </c>
      <c r="B14" s="9" t="s">
        <v>33</v>
      </c>
    </row>
    <row r="15" spans="1:18" ht="36" customHeight="1">
      <c r="A15" s="8" t="s">
        <v>46</v>
      </c>
      <c r="B15" s="9" t="s">
        <v>34</v>
      </c>
    </row>
    <row r="16" spans="1:18" ht="15.6">
      <c r="A16" s="8" t="s">
        <v>47</v>
      </c>
      <c r="B16" s="9" t="s">
        <v>35</v>
      </c>
    </row>
  </sheetData>
  <mergeCells count="1">
    <mergeCell ref="A1:B1"/>
  </mergeCells>
  <dataValidations count="1">
    <dataValidation type="list" allowBlank="1" showInputMessage="1" showErrorMessage="1" sqref="B18">
      <formula1>$D$2:$R$2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E6" sqref="E6"/>
    </sheetView>
  </sheetViews>
  <sheetFormatPr defaultRowHeight="14.4"/>
  <sheetData>
    <row r="1" spans="1:2">
      <c r="A1" t="s">
        <v>387</v>
      </c>
      <c r="B1" t="s">
        <v>388</v>
      </c>
    </row>
    <row r="2" spans="1:2">
      <c r="A2">
        <v>1</v>
      </c>
    </row>
    <row r="3" spans="1:2">
      <c r="A3">
        <v>2</v>
      </c>
      <c r="B3" t="s">
        <v>389</v>
      </c>
    </row>
    <row r="4" spans="1:2">
      <c r="A4">
        <v>3</v>
      </c>
      <c r="B4" t="s">
        <v>390</v>
      </c>
    </row>
    <row r="5" spans="1:2">
      <c r="A5">
        <v>4</v>
      </c>
      <c r="B5" t="s">
        <v>391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422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Форма!B10</f>
        <v>Метод профилактики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Форма!C10</f>
        <v>Клинические рекомендации</v>
      </c>
      <c r="D4" s="26"/>
      <c r="E4" s="40"/>
    </row>
    <row r="5" spans="1:5" ht="15.75" customHeight="1">
      <c r="A5" s="55"/>
      <c r="B5" s="55"/>
      <c r="C5" s="26"/>
      <c r="D5" s="26"/>
      <c r="E5" s="40"/>
    </row>
    <row r="6" spans="1:5" ht="58.5" customHeight="1">
      <c r="A6" s="78" t="s">
        <v>423</v>
      </c>
      <c r="B6" s="78"/>
      <c r="C6" s="78"/>
      <c r="D6" s="78"/>
    </row>
    <row r="7" spans="1:5" s="1" customFormat="1" ht="30" customHeight="1">
      <c r="A7" s="82" t="s">
        <v>419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418</v>
      </c>
      <c r="B8" s="82"/>
      <c r="C8" s="82"/>
      <c r="D8" s="46" t="b">
        <v>0</v>
      </c>
      <c r="E8" s="1">
        <f t="shared" ref="E8:E13" si="0">IF(LEN(D8)&gt;4,1,0)</f>
        <v>0</v>
      </c>
    </row>
    <row r="9" spans="1:5" s="1" customFormat="1" ht="29.25" customHeight="1">
      <c r="A9" s="82" t="s">
        <v>417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416</v>
      </c>
      <c r="B10" s="81"/>
      <c r="C10" s="81"/>
      <c r="D10" s="46" t="b">
        <v>0</v>
      </c>
      <c r="E10" s="1">
        <f t="shared" si="0"/>
        <v>0</v>
      </c>
    </row>
    <row r="11" spans="1:5" s="1" customFormat="1" ht="29.25" customHeight="1">
      <c r="A11" s="81" t="s">
        <v>415</v>
      </c>
      <c r="B11" s="81"/>
      <c r="C11" s="81"/>
      <c r="D11" s="46" t="b">
        <v>0</v>
      </c>
      <c r="E11" s="1">
        <f t="shared" si="0"/>
        <v>0</v>
      </c>
    </row>
    <row r="12" spans="1:5" s="1" customFormat="1" ht="29.25" customHeight="1">
      <c r="A12" s="81" t="s">
        <v>414</v>
      </c>
      <c r="B12" s="81"/>
      <c r="C12" s="81"/>
      <c r="D12" s="46" t="b">
        <v>0</v>
      </c>
      <c r="E12" s="1">
        <f t="shared" si="0"/>
        <v>0</v>
      </c>
    </row>
    <row r="13" spans="1:5" s="1" customFormat="1" ht="29.25" customHeight="1">
      <c r="A13" s="81" t="s">
        <v>413</v>
      </c>
      <c r="B13" s="81"/>
      <c r="C13" s="81"/>
      <c r="D13" s="46" t="b">
        <v>0</v>
      </c>
      <c r="E13" s="1">
        <f t="shared" si="0"/>
        <v>0</v>
      </c>
    </row>
    <row r="14" spans="1:5">
      <c r="E14" s="1">
        <f>SUM(E7:E13)</f>
        <v>0</v>
      </c>
    </row>
  </sheetData>
  <sheetProtection sheet="1" selectLockedCells="1"/>
  <mergeCells count="12">
    <mergeCell ref="A7:C7"/>
    <mergeCell ref="A1:B1"/>
    <mergeCell ref="A2:D2"/>
    <mergeCell ref="A3:B3"/>
    <mergeCell ref="A4:B4"/>
    <mergeCell ref="A6:D6"/>
    <mergeCell ref="A8:C8"/>
    <mergeCell ref="A9:C9"/>
    <mergeCell ref="A13:C13"/>
    <mergeCell ref="A10:C10"/>
    <mergeCell ref="A12:C12"/>
    <mergeCell ref="A11:C11"/>
  </mergeCells>
  <conditionalFormatting sqref="A7">
    <cfRule type="duplicateValues" dxfId="14" priority="5"/>
  </conditionalFormatting>
  <conditionalFormatting sqref="A8:A9 A13">
    <cfRule type="duplicateValues" dxfId="13" priority="4"/>
  </conditionalFormatting>
  <conditionalFormatting sqref="A10">
    <cfRule type="duplicateValues" dxfId="12" priority="3"/>
  </conditionalFormatting>
  <conditionalFormatting sqref="A12">
    <cfRule type="duplicateValues" dxfId="11" priority="2"/>
  </conditionalFormatting>
  <conditionalFormatting sqref="A11">
    <cfRule type="duplicateValues" dxfId="10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422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Форма!B11</f>
        <v>Метод диагностики</v>
      </c>
      <c r="D3" s="27"/>
      <c r="E3" s="42"/>
    </row>
    <row r="4" spans="1:5" ht="15.75" customHeight="1">
      <c r="A4" s="72" t="s">
        <v>48</v>
      </c>
      <c r="B4" s="72"/>
      <c r="C4" s="25" t="str">
        <f>Форма!C11</f>
        <v>Клинические рекомендации</v>
      </c>
      <c r="D4" s="26"/>
      <c r="E4" s="40"/>
    </row>
    <row r="5" spans="1:5" ht="15.75" customHeight="1">
      <c r="A5" s="55"/>
      <c r="B5" s="55"/>
      <c r="C5" s="26"/>
      <c r="D5" s="26"/>
      <c r="E5" s="40"/>
    </row>
    <row r="6" spans="1:5" ht="58.5" customHeight="1">
      <c r="A6" s="78" t="s">
        <v>423</v>
      </c>
      <c r="B6" s="78"/>
      <c r="C6" s="78"/>
      <c r="D6" s="78"/>
    </row>
    <row r="7" spans="1:5" s="1" customFormat="1" ht="30" customHeight="1">
      <c r="A7" s="82" t="s">
        <v>419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418</v>
      </c>
      <c r="B8" s="82"/>
      <c r="C8" s="82"/>
      <c r="D8" s="46" t="b">
        <v>0</v>
      </c>
      <c r="E8" s="1">
        <f t="shared" ref="E8:E13" si="0">IF(LEN(D8)&gt;4,1,0)</f>
        <v>0</v>
      </c>
    </row>
    <row r="9" spans="1:5" s="1" customFormat="1" ht="29.25" customHeight="1">
      <c r="A9" s="82" t="s">
        <v>417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416</v>
      </c>
      <c r="B10" s="81"/>
      <c r="C10" s="81"/>
      <c r="D10" s="46" t="b">
        <v>0</v>
      </c>
      <c r="E10" s="1">
        <f t="shared" si="0"/>
        <v>0</v>
      </c>
    </row>
    <row r="11" spans="1:5" s="1" customFormat="1" ht="29.25" customHeight="1">
      <c r="A11" s="81" t="s">
        <v>415</v>
      </c>
      <c r="B11" s="81"/>
      <c r="C11" s="81"/>
      <c r="D11" s="46" t="b">
        <v>0</v>
      </c>
      <c r="E11" s="1">
        <f t="shared" si="0"/>
        <v>0</v>
      </c>
    </row>
    <row r="12" spans="1:5" s="1" customFormat="1" ht="29.25" customHeight="1">
      <c r="A12" s="81" t="s">
        <v>414</v>
      </c>
      <c r="B12" s="81"/>
      <c r="C12" s="81"/>
      <c r="D12" s="46" t="b">
        <v>0</v>
      </c>
      <c r="E12" s="1">
        <f t="shared" si="0"/>
        <v>0</v>
      </c>
    </row>
    <row r="13" spans="1:5" s="1" customFormat="1" ht="29.25" customHeight="1">
      <c r="A13" s="81" t="s">
        <v>413</v>
      </c>
      <c r="B13" s="81"/>
      <c r="C13" s="81"/>
      <c r="D13" s="46" t="b">
        <v>0</v>
      </c>
      <c r="E13" s="1">
        <f t="shared" si="0"/>
        <v>0</v>
      </c>
    </row>
    <row r="14" spans="1:5">
      <c r="E14" s="1">
        <f>SUM(E7:E13)</f>
        <v>0</v>
      </c>
    </row>
  </sheetData>
  <sheetProtection sheet="1" selectLockedCells="1"/>
  <mergeCells count="12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</mergeCells>
  <conditionalFormatting sqref="A7">
    <cfRule type="duplicateValues" dxfId="9" priority="5"/>
  </conditionalFormatting>
  <conditionalFormatting sqref="A8:A9 A13">
    <cfRule type="duplicateValues" dxfId="8" priority="4"/>
  </conditionalFormatting>
  <conditionalFormatting sqref="A10">
    <cfRule type="duplicateValues" dxfId="7" priority="3"/>
  </conditionalFormatting>
  <conditionalFormatting sqref="A12">
    <cfRule type="duplicateValues" dxfId="6" priority="2"/>
  </conditionalFormatting>
  <conditionalFormatting sqref="A11">
    <cfRule type="duplicateValues" dxfId="5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selection sqref="A1:B1"/>
    </sheetView>
  </sheetViews>
  <sheetFormatPr defaultRowHeight="14.4"/>
  <cols>
    <col min="1" max="1" width="5.44140625" customWidth="1"/>
    <col min="2" max="2" width="73.6640625" customWidth="1"/>
    <col min="3" max="3" width="46.109375" customWidth="1"/>
    <col min="4" max="4" width="5.44140625" customWidth="1"/>
    <col min="5" max="5" width="7.33203125" hidden="1" customWidth="1"/>
  </cols>
  <sheetData>
    <row r="1" spans="1:5" ht="53.25" customHeight="1">
      <c r="A1" s="70" t="s">
        <v>54</v>
      </c>
      <c r="B1" s="70"/>
      <c r="C1" s="26"/>
      <c r="D1" s="26"/>
      <c r="E1" s="40"/>
    </row>
    <row r="2" spans="1:5" ht="51.75" customHeight="1">
      <c r="A2" s="71" t="s">
        <v>422</v>
      </c>
      <c r="B2" s="71"/>
      <c r="C2" s="71"/>
      <c r="D2" s="71"/>
      <c r="E2" s="41"/>
    </row>
    <row r="3" spans="1:5" ht="30.75" customHeight="1">
      <c r="A3" s="72" t="s">
        <v>171</v>
      </c>
      <c r="B3" s="72"/>
      <c r="C3" s="25" t="str">
        <f>Форма!B12</f>
        <v>Прочее</v>
      </c>
      <c r="D3" s="27"/>
      <c r="E3" s="42"/>
    </row>
    <row r="4" spans="1:5" ht="15.75" customHeight="1">
      <c r="A4" s="72" t="s">
        <v>48</v>
      </c>
      <c r="B4" s="72"/>
      <c r="C4" s="25" t="str">
        <f>Форма!C12</f>
        <v>Иное</v>
      </c>
      <c r="D4" s="26"/>
      <c r="E4" s="40"/>
    </row>
    <row r="5" spans="1:5" ht="15.75" customHeight="1">
      <c r="A5" s="55"/>
      <c r="B5" s="55"/>
      <c r="C5" s="26"/>
      <c r="D5" s="26"/>
      <c r="E5" s="40"/>
    </row>
    <row r="6" spans="1:5" ht="58.5" customHeight="1">
      <c r="A6" s="78" t="s">
        <v>423</v>
      </c>
      <c r="B6" s="78"/>
      <c r="C6" s="78"/>
      <c r="D6" s="78"/>
    </row>
    <row r="7" spans="1:5" s="1" customFormat="1" ht="30" customHeight="1">
      <c r="A7" s="82" t="s">
        <v>419</v>
      </c>
      <c r="B7" s="82"/>
      <c r="C7" s="82"/>
      <c r="D7" s="46" t="b">
        <v>0</v>
      </c>
      <c r="E7" s="1">
        <f>IF(LEN(D7)&gt;4,1,0)</f>
        <v>0</v>
      </c>
    </row>
    <row r="8" spans="1:5" s="1" customFormat="1" ht="29.25" customHeight="1">
      <c r="A8" s="82" t="s">
        <v>418</v>
      </c>
      <c r="B8" s="82"/>
      <c r="C8" s="82"/>
      <c r="D8" s="46" t="b">
        <v>0</v>
      </c>
      <c r="E8" s="1">
        <f t="shared" ref="E8:E13" si="0">IF(LEN(D8)&gt;4,1,0)</f>
        <v>0</v>
      </c>
    </row>
    <row r="9" spans="1:5" s="1" customFormat="1" ht="29.25" customHeight="1">
      <c r="A9" s="82" t="s">
        <v>417</v>
      </c>
      <c r="B9" s="82"/>
      <c r="C9" s="82"/>
      <c r="D9" s="46" t="b">
        <v>0</v>
      </c>
      <c r="E9" s="1">
        <f t="shared" si="0"/>
        <v>0</v>
      </c>
    </row>
    <row r="10" spans="1:5" s="1" customFormat="1" ht="29.25" customHeight="1">
      <c r="A10" s="81" t="s">
        <v>416</v>
      </c>
      <c r="B10" s="81"/>
      <c r="C10" s="81"/>
      <c r="D10" s="46" t="b">
        <v>0</v>
      </c>
      <c r="E10" s="1">
        <f t="shared" si="0"/>
        <v>0</v>
      </c>
    </row>
    <row r="11" spans="1:5" s="1" customFormat="1" ht="29.25" customHeight="1">
      <c r="A11" s="81" t="s">
        <v>415</v>
      </c>
      <c r="B11" s="81"/>
      <c r="C11" s="81"/>
      <c r="D11" s="46" t="b">
        <v>0</v>
      </c>
      <c r="E11" s="1">
        <f t="shared" si="0"/>
        <v>0</v>
      </c>
    </row>
    <row r="12" spans="1:5" s="1" customFormat="1" ht="29.25" customHeight="1">
      <c r="A12" s="81" t="s">
        <v>414</v>
      </c>
      <c r="B12" s="81"/>
      <c r="C12" s="81"/>
      <c r="D12" s="46" t="b">
        <v>0</v>
      </c>
      <c r="E12" s="1">
        <f t="shared" si="0"/>
        <v>0</v>
      </c>
    </row>
    <row r="13" spans="1:5" s="1" customFormat="1" ht="29.25" customHeight="1">
      <c r="A13" s="81" t="s">
        <v>413</v>
      </c>
      <c r="B13" s="81"/>
      <c r="C13" s="81"/>
      <c r="D13" s="46" t="b">
        <v>0</v>
      </c>
      <c r="E13" s="1">
        <f t="shared" si="0"/>
        <v>0</v>
      </c>
    </row>
    <row r="14" spans="1:5">
      <c r="E14" s="1">
        <f>SUM(E7:E13)</f>
        <v>0</v>
      </c>
    </row>
  </sheetData>
  <sheetProtection sheet="1" selectLockedCells="1"/>
  <mergeCells count="12">
    <mergeCell ref="A13:C13"/>
    <mergeCell ref="A1:B1"/>
    <mergeCell ref="A2:D2"/>
    <mergeCell ref="A3:B3"/>
    <mergeCell ref="A4:B4"/>
    <mergeCell ref="A6:D6"/>
    <mergeCell ref="A7:C7"/>
    <mergeCell ref="A8:C8"/>
    <mergeCell ref="A9:C9"/>
    <mergeCell ref="A10:C10"/>
    <mergeCell ref="A11:C11"/>
    <mergeCell ref="A12:C12"/>
  </mergeCells>
  <conditionalFormatting sqref="A7">
    <cfRule type="duplicateValues" dxfId="4" priority="5"/>
  </conditionalFormatting>
  <conditionalFormatting sqref="A8:A9 A13">
    <cfRule type="duplicateValues" dxfId="3" priority="4"/>
  </conditionalFormatting>
  <conditionalFormatting sqref="A10">
    <cfRule type="duplicateValues" dxfId="2" priority="3"/>
  </conditionalFormatting>
  <conditionalFormatting sqref="A12">
    <cfRule type="duplicateValues" dxfId="1" priority="2"/>
  </conditionalFormatting>
  <conditionalFormatting sqref="A11">
    <cfRule type="duplicateValues" dxfId="0" priority="1"/>
  </conditionalFormatting>
  <hyperlinks>
    <hyperlink ref="A1" location="Форма!A1" display="Вернуться на лист &quot;Форма&quot;"/>
    <hyperlink ref="A1:B1" location="Форма!A1" display="Вернуться на главную страницу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D11" sqref="D11"/>
    </sheetView>
  </sheetViews>
  <sheetFormatPr defaultRowHeight="14.4"/>
  <sheetData>
    <row r="1" spans="1:2">
      <c r="A1" t="s">
        <v>387</v>
      </c>
      <c r="B1" t="s">
        <v>405</v>
      </c>
    </row>
    <row r="2" spans="1:2">
      <c r="A2">
        <v>0</v>
      </c>
      <c r="B2" s="56" t="s">
        <v>411</v>
      </c>
    </row>
    <row r="3" spans="1:2">
      <c r="A3">
        <v>1</v>
      </c>
      <c r="B3" t="s">
        <v>407</v>
      </c>
    </row>
    <row r="4" spans="1:2">
      <c r="A4">
        <v>2</v>
      </c>
      <c r="B4" t="s">
        <v>406</v>
      </c>
    </row>
    <row r="5" spans="1:2">
      <c r="A5">
        <v>3</v>
      </c>
      <c r="B5" t="s">
        <v>408</v>
      </c>
    </row>
    <row r="6" spans="1:2">
      <c r="A6">
        <v>4</v>
      </c>
      <c r="B6" t="s">
        <v>409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sheetPr codeName="Лист12"/>
  <dimension ref="A1:D14"/>
  <sheetViews>
    <sheetView workbookViewId="0">
      <selection activeCell="B5" sqref="B5:B6"/>
    </sheetView>
  </sheetViews>
  <sheetFormatPr defaultRowHeight="14.4"/>
  <cols>
    <col min="1" max="1" width="5.6640625" customWidth="1"/>
    <col min="2" max="2" width="42" customWidth="1"/>
    <col min="3" max="3" width="38.44140625" customWidth="1"/>
    <col min="4" max="4" width="9.6640625" customWidth="1"/>
  </cols>
  <sheetData>
    <row r="1" spans="1:4" ht="52.5" customHeight="1">
      <c r="A1" s="74" t="s">
        <v>17</v>
      </c>
      <c r="B1" s="74"/>
      <c r="C1" s="74"/>
      <c r="D1" s="74"/>
    </row>
    <row r="2" spans="1:4">
      <c r="A2" s="17" t="s">
        <v>0</v>
      </c>
      <c r="B2" s="17" t="s">
        <v>8</v>
      </c>
      <c r="C2" s="18" t="s">
        <v>9</v>
      </c>
      <c r="D2" s="18" t="s">
        <v>20</v>
      </c>
    </row>
    <row r="3" spans="1:4" ht="33.75" customHeight="1">
      <c r="A3" s="96">
        <v>1</v>
      </c>
      <c r="B3" s="97" t="s">
        <v>10</v>
      </c>
      <c r="C3" s="14" t="s">
        <v>11</v>
      </c>
      <c r="D3" s="4">
        <v>10</v>
      </c>
    </row>
    <row r="4" spans="1:4" ht="44.25" customHeight="1">
      <c r="A4" s="96"/>
      <c r="B4" s="97"/>
      <c r="C4" s="14" t="s">
        <v>18</v>
      </c>
      <c r="D4" s="4">
        <v>9</v>
      </c>
    </row>
    <row r="5" spans="1:4" ht="80.25" customHeight="1">
      <c r="A5" s="96">
        <v>2</v>
      </c>
      <c r="B5" s="97" t="s">
        <v>12</v>
      </c>
      <c r="C5" s="14" t="s">
        <v>11</v>
      </c>
      <c r="D5" s="4">
        <v>8</v>
      </c>
    </row>
    <row r="6" spans="1:4" ht="33.75" customHeight="1">
      <c r="A6" s="96"/>
      <c r="B6" s="97"/>
      <c r="C6" s="14" t="s">
        <v>18</v>
      </c>
      <c r="D6" s="4">
        <v>7</v>
      </c>
    </row>
    <row r="7" spans="1:4" ht="91.5" customHeight="1">
      <c r="A7" s="96">
        <v>3</v>
      </c>
      <c r="B7" s="97" t="s">
        <v>13</v>
      </c>
      <c r="C7" s="14" t="s">
        <v>11</v>
      </c>
      <c r="D7" s="4">
        <v>6</v>
      </c>
    </row>
    <row r="8" spans="1:4" ht="36" customHeight="1">
      <c r="A8" s="96"/>
      <c r="B8" s="97"/>
      <c r="C8" s="14" t="s">
        <v>18</v>
      </c>
      <c r="D8" s="4">
        <v>5</v>
      </c>
    </row>
    <row r="9" spans="1:4" ht="38.25" customHeight="1">
      <c r="A9" s="96">
        <v>4</v>
      </c>
      <c r="B9" s="97" t="s">
        <v>14</v>
      </c>
      <c r="C9" s="14" t="s">
        <v>11</v>
      </c>
      <c r="D9" s="4">
        <v>4</v>
      </c>
    </row>
    <row r="10" spans="1:4" ht="27.6">
      <c r="A10" s="96"/>
      <c r="B10" s="97"/>
      <c r="C10" s="14" t="s">
        <v>18</v>
      </c>
      <c r="D10" s="4">
        <v>3</v>
      </c>
    </row>
    <row r="11" spans="1:4" ht="33.75" customHeight="1">
      <c r="A11" s="96">
        <v>5</v>
      </c>
      <c r="B11" s="97" t="s">
        <v>15</v>
      </c>
      <c r="C11" s="14" t="s">
        <v>11</v>
      </c>
      <c r="D11" s="4">
        <v>2</v>
      </c>
    </row>
    <row r="12" spans="1:4" ht="39" customHeight="1">
      <c r="A12" s="96"/>
      <c r="B12" s="97"/>
      <c r="C12" s="14" t="s">
        <v>18</v>
      </c>
      <c r="D12" s="4">
        <v>1</v>
      </c>
    </row>
    <row r="13" spans="1:4" ht="27.6">
      <c r="A13" s="96">
        <v>6</v>
      </c>
      <c r="B13" s="97" t="s">
        <v>16</v>
      </c>
      <c r="C13" s="14" t="s">
        <v>11</v>
      </c>
      <c r="D13" s="4">
        <v>2</v>
      </c>
    </row>
    <row r="14" spans="1:4" ht="27.6">
      <c r="A14" s="96"/>
      <c r="B14" s="97"/>
      <c r="C14" s="14" t="s">
        <v>18</v>
      </c>
      <c r="D14" s="4">
        <v>1</v>
      </c>
    </row>
  </sheetData>
  <mergeCells count="13">
    <mergeCell ref="B5:B6"/>
    <mergeCell ref="A5:A6"/>
    <mergeCell ref="A3:A4"/>
    <mergeCell ref="B3:B4"/>
    <mergeCell ref="A1:D1"/>
    <mergeCell ref="A7:A8"/>
    <mergeCell ref="B7:B8"/>
    <mergeCell ref="B13:B14"/>
    <mergeCell ref="A13:A14"/>
    <mergeCell ref="A11:A12"/>
    <mergeCell ref="B11:B12"/>
    <mergeCell ref="A9:A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46</vt:i4>
      </vt:variant>
    </vt:vector>
  </HeadingPairs>
  <TitlesOfParts>
    <vt:vector size="46" baseType="lpstr">
      <vt:lpstr>Форма</vt:lpstr>
      <vt:lpstr>Р1</vt:lpstr>
      <vt:lpstr>Р2</vt:lpstr>
      <vt:lpstr>Р3</vt:lpstr>
      <vt:lpstr>Клинический эффект</vt:lpstr>
      <vt:lpstr>Возможность импортозамещения</vt:lpstr>
      <vt:lpstr>Р1_УГТ_ЛП</vt:lpstr>
      <vt:lpstr>Р2_УГТ_ЛП</vt:lpstr>
      <vt:lpstr>Р3_УГТ_ЛП</vt:lpstr>
      <vt:lpstr>Р1_УГТ_МИ</vt:lpstr>
      <vt:lpstr>Р2_УГТ_МИ</vt:lpstr>
      <vt:lpstr>Р3_УГТ_МИ</vt:lpstr>
      <vt:lpstr>Р1_УГТ_КР</vt:lpstr>
      <vt:lpstr>Р2_УГТ_КР</vt:lpstr>
      <vt:lpstr>Р3_УГТ_КР</vt:lpstr>
      <vt:lpstr>Р1_УГТ_Иное</vt:lpstr>
      <vt:lpstr>Р2_УГТ_Иное</vt:lpstr>
      <vt:lpstr>Р3_УГТ_Иное</vt:lpstr>
      <vt:lpstr>Р1_ДОК_ЛП</vt:lpstr>
      <vt:lpstr>Р2_ДОК_ЛП</vt:lpstr>
      <vt:lpstr>Р3_ДОК_ЛП</vt:lpstr>
      <vt:lpstr>Р1_ДОК_МИ</vt:lpstr>
      <vt:lpstr>Р2_ДОК_МИ</vt:lpstr>
      <vt:lpstr>Р3_ДОК_МИ</vt:lpstr>
      <vt:lpstr>Р1_ДОК_КР</vt:lpstr>
      <vt:lpstr>Р2_ДОК_КР</vt:lpstr>
      <vt:lpstr>Р3_ДОК_КР</vt:lpstr>
      <vt:lpstr>Р1_ДОК_Иное</vt:lpstr>
      <vt:lpstr>Р2_ДОК_Иное</vt:lpstr>
      <vt:lpstr>Р3_ДОК_Иное</vt:lpstr>
      <vt:lpstr>Р1_КТ</vt:lpstr>
      <vt:lpstr>Р2_КТ</vt:lpstr>
      <vt:lpstr>Р3_КТ</vt:lpstr>
      <vt:lpstr>Р1_СТ</vt:lpstr>
      <vt:lpstr>Р2_СТ</vt:lpstr>
      <vt:lpstr>Р3_СТ</vt:lpstr>
      <vt:lpstr>Р1_НИОКТР_1</vt:lpstr>
      <vt:lpstr>Р2_НИОКТР_1</vt:lpstr>
      <vt:lpstr>Р3_НИОКТР_1</vt:lpstr>
      <vt:lpstr>ВР</vt:lpstr>
      <vt:lpstr>Соотв</vt:lpstr>
      <vt:lpstr>Р1_НИОКТР_2</vt:lpstr>
      <vt:lpstr>Р2_НИОКТР_2</vt:lpstr>
      <vt:lpstr>Р3_НИОКТР_2</vt:lpstr>
      <vt:lpstr>НИОКТР_26-30</vt:lpstr>
      <vt:lpstr>Баллы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Шорников Игорь Александрович</dc:creator>
  <cp:lastModifiedBy>Sony Vaio</cp:lastModifiedBy>
  <dcterms:created xsi:type="dcterms:W3CDTF">2023-11-20T08:23:11Z</dcterms:created>
  <dcterms:modified xsi:type="dcterms:W3CDTF">2025-11-10T13:47:49Z</dcterms:modified>
</cp:coreProperties>
</file>